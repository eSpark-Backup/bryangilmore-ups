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gilmore-ups\Design-Files\DC-UPS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67" i="1" l="1"/>
  <c r="B166" i="1" l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<sst xmlns="http://schemas.openxmlformats.org/spreadsheetml/2006/main" count="1159" uniqueCount="705">
  <si>
    <t>#</t>
  </si>
  <si>
    <t>Item Type</t>
  </si>
  <si>
    <t>Capacitors</t>
  </si>
  <si>
    <t>Suppression Capacitor</t>
  </si>
  <si>
    <t>Capacitor</t>
  </si>
  <si>
    <t>Film Capacitors</t>
  </si>
  <si>
    <t>Diode</t>
  </si>
  <si>
    <t>Fuses</t>
  </si>
  <si>
    <t>Male Header</t>
  </si>
  <si>
    <t>JST Connector</t>
  </si>
  <si>
    <t>Wire To Board Connector</t>
  </si>
  <si>
    <t>Terminal Block</t>
  </si>
  <si>
    <t>Relays</t>
  </si>
  <si>
    <t>Inductor</t>
  </si>
  <si>
    <t>Inductors</t>
  </si>
  <si>
    <t>LED</t>
  </si>
  <si>
    <t>MOSFET</t>
  </si>
  <si>
    <t>MOSFETs</t>
  </si>
  <si>
    <t>BJTs</t>
  </si>
  <si>
    <t>Mosfet</t>
  </si>
  <si>
    <t>IC</t>
  </si>
  <si>
    <t>Resistor</t>
  </si>
  <si>
    <t>Resistors</t>
  </si>
  <si>
    <t>Thermistors</t>
  </si>
  <si>
    <t>Common Mode Chokes</t>
  </si>
  <si>
    <t>Transformer</t>
  </si>
  <si>
    <t>Optocouplers</t>
  </si>
  <si>
    <t>Varistors</t>
  </si>
  <si>
    <t>Designator</t>
  </si>
  <si>
    <t>C1, C9</t>
  </si>
  <si>
    <t>C2, C3, C10, C11</t>
  </si>
  <si>
    <t>C4</t>
  </si>
  <si>
    <t>C5, C6</t>
  </si>
  <si>
    <t>C7</t>
  </si>
  <si>
    <t>C8</t>
  </si>
  <si>
    <t>C12</t>
  </si>
  <si>
    <t>C13</t>
  </si>
  <si>
    <t>C14</t>
  </si>
  <si>
    <t>C15</t>
  </si>
  <si>
    <t>C16</t>
  </si>
  <si>
    <t>C17</t>
  </si>
  <si>
    <t>C18</t>
  </si>
  <si>
    <t>C19, C74, C75, C76, C86, C89, C90, C98, C103, C105, C106</t>
  </si>
  <si>
    <t>C20</t>
  </si>
  <si>
    <t>C21</t>
  </si>
  <si>
    <t>C22</t>
  </si>
  <si>
    <t>C23</t>
  </si>
  <si>
    <t>C24</t>
  </si>
  <si>
    <t>C25, C28</t>
  </si>
  <si>
    <t>C26, C27, C35, C36, C92</t>
  </si>
  <si>
    <t>C29</t>
  </si>
  <si>
    <t>C30</t>
  </si>
  <si>
    <t>C31</t>
  </si>
  <si>
    <t>C32, C33</t>
  </si>
  <si>
    <t>C34, C57</t>
  </si>
  <si>
    <t>C37, C41, C43</t>
  </si>
  <si>
    <t>C38</t>
  </si>
  <si>
    <t>C39</t>
  </si>
  <si>
    <t>C40, C42, C46, C96</t>
  </si>
  <si>
    <t>C44</t>
  </si>
  <si>
    <t>C45</t>
  </si>
  <si>
    <t>C47</t>
  </si>
  <si>
    <t>C48, C49, C50</t>
  </si>
  <si>
    <t>C51, C54</t>
  </si>
  <si>
    <t>C52</t>
  </si>
  <si>
    <t>C53</t>
  </si>
  <si>
    <t>C55, C88</t>
  </si>
  <si>
    <t>C56</t>
  </si>
  <si>
    <t>C58</t>
  </si>
  <si>
    <t>C59, C60, C61, C62, C63</t>
  </si>
  <si>
    <t>C64, C65, C66, C67, C68, C69, C70, C71, C72, C73</t>
  </si>
  <si>
    <t>C77</t>
  </si>
  <si>
    <t>C78</t>
  </si>
  <si>
    <t>C79</t>
  </si>
  <si>
    <t>C80, C81, C82, C83, C84, C85</t>
  </si>
  <si>
    <t>C87</t>
  </si>
  <si>
    <t>C93</t>
  </si>
  <si>
    <t>C94, C95</t>
  </si>
  <si>
    <t>C97, C99, C100, C107</t>
  </si>
  <si>
    <t>C101, C102, C109, C110, C111</t>
  </si>
  <si>
    <t>C104</t>
  </si>
  <si>
    <t>C108</t>
  </si>
  <si>
    <t>D1</t>
  </si>
  <si>
    <t>D2, D3</t>
  </si>
  <si>
    <t>D4</t>
  </si>
  <si>
    <t>D5, D6, D8, D9</t>
  </si>
  <si>
    <t>D7</t>
  </si>
  <si>
    <t>D10</t>
  </si>
  <si>
    <t>D11</t>
  </si>
  <si>
    <t>D12</t>
  </si>
  <si>
    <t>D13, D17</t>
  </si>
  <si>
    <t>D14, D15</t>
  </si>
  <si>
    <t>D16</t>
  </si>
  <si>
    <t>D18</t>
  </si>
  <si>
    <t>D19</t>
  </si>
  <si>
    <t>F1</t>
  </si>
  <si>
    <t>J2</t>
  </si>
  <si>
    <t>J4</t>
  </si>
  <si>
    <t>J5</t>
  </si>
  <si>
    <t>J6</t>
  </si>
  <si>
    <t>J7</t>
  </si>
  <si>
    <t>K1</t>
  </si>
  <si>
    <t>L1</t>
  </si>
  <si>
    <t>L2</t>
  </si>
  <si>
    <t>L3</t>
  </si>
  <si>
    <t>L4</t>
  </si>
  <si>
    <t>LED1</t>
  </si>
  <si>
    <t>LED2</t>
  </si>
  <si>
    <t>LED3</t>
  </si>
  <si>
    <t>Q1</t>
  </si>
  <si>
    <t>Q2</t>
  </si>
  <si>
    <t>Q3</t>
  </si>
  <si>
    <t>Q4</t>
  </si>
  <si>
    <t>Q5, Q7</t>
  </si>
  <si>
    <t>Q6, Q9</t>
  </si>
  <si>
    <t>Q10</t>
  </si>
  <si>
    <t>Q11, Q13</t>
  </si>
  <si>
    <t>Q12</t>
  </si>
  <si>
    <t>Q14, Q15, Q18, Q19</t>
  </si>
  <si>
    <t>Q16, Q17</t>
  </si>
  <si>
    <t>R1, R4</t>
  </si>
  <si>
    <t>R2, R23</t>
  </si>
  <si>
    <t>R3, R7, R8, R11</t>
  </si>
  <si>
    <t>R5</t>
  </si>
  <si>
    <t>R6</t>
  </si>
  <si>
    <t>R9</t>
  </si>
  <si>
    <t>R10</t>
  </si>
  <si>
    <t>R12</t>
  </si>
  <si>
    <t>R13, R14, R15, R16</t>
  </si>
  <si>
    <t>R17</t>
  </si>
  <si>
    <t>R18, R25</t>
  </si>
  <si>
    <t>R19</t>
  </si>
  <si>
    <t>R20</t>
  </si>
  <si>
    <t>R21</t>
  </si>
  <si>
    <t>R22, R26</t>
  </si>
  <si>
    <t>R24</t>
  </si>
  <si>
    <t>R27, R29</t>
  </si>
  <si>
    <t>R28, R30, R66, R81</t>
  </si>
  <si>
    <t>R31</t>
  </si>
  <si>
    <t>R32</t>
  </si>
  <si>
    <t>R33</t>
  </si>
  <si>
    <t>R34, R35, R37, R38</t>
  </si>
  <si>
    <t>R36, R69, R83</t>
  </si>
  <si>
    <t>R39, R41, R45</t>
  </si>
  <si>
    <t>R40</t>
  </si>
  <si>
    <t>R42, R43, R44</t>
  </si>
  <si>
    <t>R46</t>
  </si>
  <si>
    <t>R47, R55</t>
  </si>
  <si>
    <t>R48, R73, R74, R93</t>
  </si>
  <si>
    <t>R49</t>
  </si>
  <si>
    <t>R50</t>
  </si>
  <si>
    <t>R51, R52</t>
  </si>
  <si>
    <t>R53</t>
  </si>
  <si>
    <t>R54</t>
  </si>
  <si>
    <t>R56</t>
  </si>
  <si>
    <t>R57</t>
  </si>
  <si>
    <t>R58</t>
  </si>
  <si>
    <t>R59</t>
  </si>
  <si>
    <t>R60</t>
  </si>
  <si>
    <t>R61</t>
  </si>
  <si>
    <t>R65</t>
  </si>
  <si>
    <t>R67</t>
  </si>
  <si>
    <t>R68</t>
  </si>
  <si>
    <t>R70</t>
  </si>
  <si>
    <t>R71</t>
  </si>
  <si>
    <t>R72</t>
  </si>
  <si>
    <t>R75, R77, R87</t>
  </si>
  <si>
    <t>R76, R78, R88</t>
  </si>
  <si>
    <t>R79</t>
  </si>
  <si>
    <t>R80</t>
  </si>
  <si>
    <t>R82, R86, R89</t>
  </si>
  <si>
    <t>R84</t>
  </si>
  <si>
    <t>R85</t>
  </si>
  <si>
    <t>R90</t>
  </si>
  <si>
    <t>R91, R97</t>
  </si>
  <si>
    <t>R92</t>
  </si>
  <si>
    <t>R94</t>
  </si>
  <si>
    <t>R95</t>
  </si>
  <si>
    <t>R96</t>
  </si>
  <si>
    <t>RT1</t>
  </si>
  <si>
    <t>T1</t>
  </si>
  <si>
    <t>T2</t>
  </si>
  <si>
    <t>T3</t>
  </si>
  <si>
    <t>U1</t>
  </si>
  <si>
    <t>U2, U3</t>
  </si>
  <si>
    <t>U4</t>
  </si>
  <si>
    <t>U5</t>
  </si>
  <si>
    <t>U6</t>
  </si>
  <si>
    <t>U7</t>
  </si>
  <si>
    <t>U9</t>
  </si>
  <si>
    <t>U10</t>
  </si>
  <si>
    <t>U11</t>
  </si>
  <si>
    <t>VR1</t>
  </si>
  <si>
    <t>Description</t>
  </si>
  <si>
    <t>CAP CER 100PF 250V RADIAL</t>
  </si>
  <si>
    <t>CAP CER 220PF 250V RADIAL</t>
  </si>
  <si>
    <t>220nF ±10% X2 275V Plugin,P=10mm Suppression Capacitors ROHS</t>
  </si>
  <si>
    <t>CAP FILM 0.47UF 10% 560VDC RAD</t>
  </si>
  <si>
    <t>CAP FILM 0.47UF 5% 450VDC RADIAL</t>
  </si>
  <si>
    <t>1uF -40℃~+105℃ ±5% 450V Plugin,P=10mm Polypropylene Film Capacitors (CBB) ROHS</t>
  </si>
  <si>
    <t>20% 900mA@120Hz 10mm 450V 150uF Plugin,D25xL30mm Horn-Type Electrolytic Capacitors ROHS</t>
  </si>
  <si>
    <t>CAP CER 10PF 1KV C0G/NPO 1206</t>
  </si>
  <si>
    <t>CAP CER 0.1UF 50V X5R 0603</t>
  </si>
  <si>
    <t>CAP CER 3900PF 25V X7R 0603</t>
  </si>
  <si>
    <t>CAP CER 560PF 50V C0G/NP0 0603</t>
  </si>
  <si>
    <t>CAP CER 0.47UF 25V X7R 1206</t>
  </si>
  <si>
    <t>CAP CER 0.22UF 16V X7R 0603</t>
  </si>
  <si>
    <t>CAP CER 0.1UF 50V X7R 0603</t>
  </si>
  <si>
    <t>10uF 50V ±20% 90mA@100kHz Plugin,D5xL11mm Aluminum Electrolytic Capacitors - Leaded ROHS</t>
  </si>
  <si>
    <t>CAP CER 0.47UF 50V X7R 1206</t>
  </si>
  <si>
    <t>CAP CER 10PF 50V X7R 0603</t>
  </si>
  <si>
    <t>CAP CER 1000PF 100V X7R 0603</t>
  </si>
  <si>
    <t>2200 pF ±20% 250VAC Ceramic Capacitor E Radial, Disc</t>
  </si>
  <si>
    <t>22nF -40℃~+100℃ ±5% 630V Plugin,P=7.5mm Polypropylene Film Capacitors (CBB) ROHS</t>
  </si>
  <si>
    <t>CAP CER 4.7UF 50V X7R 1206</t>
  </si>
  <si>
    <t>CAP CER 150PF 630V C0G/NP0 1206</t>
  </si>
  <si>
    <t>CAP CER 100PF 1KV 5% NP0 1206</t>
  </si>
  <si>
    <t>CAP ALUM 680UF 20% 35V RADIAL TH</t>
  </si>
  <si>
    <t>2200uF 35V ±20% Plugin,D16xL25mm Aluminum Electrolytic Capacitors - Leaded ROHS</t>
  </si>
  <si>
    <t>CAP CER 0.047UF 50V X8R 0603</t>
  </si>
  <si>
    <t>CAP CER 0.1UF 50V X7R 1206</t>
  </si>
  <si>
    <t>CAP ALUM 470UF 20% 35V RADIAL</t>
  </si>
  <si>
    <t>CAP CER 2.2UF 50V X5R 1206</t>
  </si>
  <si>
    <t>CAP, 2.2µF, 35V, 10%, X5R, 0603</t>
  </si>
  <si>
    <t>CAP CER 2.2UF 16V X7R 1206</t>
  </si>
  <si>
    <t>1000uF 35V ±20% Plugin,D10xL20mm Aluminum Electrolytic Capacitors - Leaded ROHS</t>
  </si>
  <si>
    <t>CAP CER 1UF 100V X7R 1206</t>
  </si>
  <si>
    <t>CAP CER 4.7UF 16V X5R 0603</t>
  </si>
  <si>
    <t>CAP CER 10000PF 100V X7R 0603</t>
  </si>
  <si>
    <t>CAP CER 100PF 50V C0G/NPO 0603</t>
  </si>
  <si>
    <t>50V 220pF X7R ±10% 0603 Multilayer Ceramic Capacitors MLCC - SMD/SMT ROHS</t>
  </si>
  <si>
    <t>CAP CER 47PF 50V NPO 0603</t>
  </si>
  <si>
    <t>CAP CER 4700PF 100V X7R 0603</t>
  </si>
  <si>
    <t>CAP ALUM POLY 18UF 20% 50V SMD</t>
  </si>
  <si>
    <t>CAP CER 4.7UF 50V X5R 0805</t>
  </si>
  <si>
    <t>CAP FILM 0.68UF 20% 16VDC 1206</t>
  </si>
  <si>
    <t>CAP CER 0.068UF 50V X7R 0603</t>
  </si>
  <si>
    <t>CAP CER 2200PF 50V X7R 0603</t>
  </si>
  <si>
    <t>CAP ALUM POLY 270UF 20% 16V SMD</t>
  </si>
  <si>
    <t>CAP CER 330PF 50V C0G/NPO 0603</t>
  </si>
  <si>
    <t>33uF 25V 30mA@120Hz ±20% SMD,D5xL5.4mm Aluminum Electrolytic Capacitors - SMD ROHS</t>
  </si>
  <si>
    <t>CAP ALUM 15UF 20% 35V SMD</t>
  </si>
  <si>
    <t>CAP CER 1UF 50V X5R 0603</t>
  </si>
  <si>
    <t>CAP ALUM POLY 68UF 20% 50V SMD</t>
  </si>
  <si>
    <t>CAP CER 22PF 50V C0G/NPO 0402</t>
  </si>
  <si>
    <t>CAP CER 100PF 50V C0G/NPO 0402</t>
  </si>
  <si>
    <t>BRIDGE RECT 1PHASE 600V 8A GBU</t>
  </si>
  <si>
    <t>DIODE GEN PURP 600V 1A SMA</t>
  </si>
  <si>
    <t>DIODE GEN PURP 600V 8A TO220FPAC</t>
  </si>
  <si>
    <t>100V 1V@10mA 4ns 200mA SOD-323 Switching Diodes ROHS</t>
  </si>
  <si>
    <t>DIODE GEN PURP 75V 150MA SOD323</t>
  </si>
  <si>
    <t>DIODE SCHOTTKY 60V 1A SMB</t>
  </si>
  <si>
    <t>DIODE ZENER 6.2V 500MW SOD123</t>
  </si>
  <si>
    <t>1.65V@1A 35ns Independent Type 1A 600V DO-214AD Fast Recovery / High Efficiency Diodes ROHS</t>
  </si>
  <si>
    <t>DIODE GEN PURP 100V 300MA SOD123</t>
  </si>
  <si>
    <t>35V Independent Type 500mV@200mA 200mA SOD-523F Schottky Diodes ROHS</t>
  </si>
  <si>
    <t>20V 385mV@0.5A 500mA SOD-123 Schottky Diodes ROHS</t>
  </si>
  <si>
    <t>45V Independent Type 20A 470mV@20A TO-277 Schottky Diodes ROHS</t>
  </si>
  <si>
    <t>40V 500mV@2A 2A SMA(DO-214AC) Schottky Barrier Diodes (SBD) ROHS</t>
  </si>
  <si>
    <t>FUSE BOARD MNT 5A 250VAC RADIAL</t>
  </si>
  <si>
    <t>M4 Plugin PCB Welding Terminal ROHS</t>
  </si>
  <si>
    <t>Gold 250V 3A Straight Square Pins 2.5mm 2P 260℃ 6mm -40℃~+105℃ 3mm 2.54mm Plugin Black Brass 1x2P Plugin,P=2.54mm Pin Headers ROHS</t>
  </si>
  <si>
    <t>Conn Shrouded Header (4 Sides) HDR 2 POS 2.5mm Solder ST Thru-Hole Box</t>
  </si>
  <si>
    <t>1x3P 3P 1 Tin 5.08mm 3 Brass 10A Direct Insert Plugin,P=5.08mm Wire To Board Connector ROHS</t>
  </si>
  <si>
    <t>1x2P Corner With Cover Plate 2 1 7.62mm -40℃~+105℃ 20A 300V Black 12~22 Straight Needle Plugin,P=7.62mm Barrier Terminal Blocks ROHS</t>
  </si>
  <si>
    <t>12V 40A One Conversion: 1C (SPDT-Conversion) Plugin,27.2x32mm Power Relays ROHS</t>
  </si>
  <si>
    <t>20A 85uH ±15% 10A Plugin,D=35mm Power Inductors ROHS</t>
  </si>
  <si>
    <t>FIXED IND 100UH 2A 80 MOHM TH</t>
  </si>
  <si>
    <t>60A 1uH ±20% 60A SMD,23.5x22mm Power Inductors ROHS</t>
  </si>
  <si>
    <t>23A 1.5uH Integrated molded inductor ±20% 33A SMD,12.6x13.5mm Power Inductors ROHS</t>
  </si>
  <si>
    <t>RED LED 0603 Light Emitting Diodes</t>
  </si>
  <si>
    <t>Emerald 0603 Light Emitting Diodes (LED) ROHS</t>
  </si>
  <si>
    <t>20mA 100mcd~220mcd 600nm~610nm -30℃~+85℃ Orange 130° 65mW 1.6V~2.6V 0603 Light Emitting Diodes (LED) ROHS</t>
  </si>
  <si>
    <t>MOSFET N-CH 600V 31A TO220-3</t>
  </si>
  <si>
    <t>650V 190mΩ@10V 3.5V 1PCSNChannel TO-263 MOSFETs ROHS</t>
  </si>
  <si>
    <t>MOSFET P-CH 60V 1.6A SOT23-3</t>
  </si>
  <si>
    <t>TRANS NPN 40V 0.6A SOT23-3</t>
  </si>
  <si>
    <t>MOSFET N-CH 800V 21A D2PAK</t>
  </si>
  <si>
    <t>MOSFET N-CH 80V 100A 8VSON</t>
  </si>
  <si>
    <t>MOSFET N-CH 40V 159A 8VSON</t>
  </si>
  <si>
    <t>MOSFET N-CH 100V 100A 8VSON</t>
  </si>
  <si>
    <t>MOSFET N-CH 60V 19A/100A 8VSON</t>
  </si>
  <si>
    <t>40V 100mW 100@10mA,1V 200mA 300MHz 300mV@50mA,5mA NPN -55℃~+150℃@(Tj) SOT-723 Bipolar Transistors - BJT ROHS</t>
  </si>
  <si>
    <t>MOSFET N-CH 40V 30A PPAK SO-8</t>
  </si>
  <si>
    <t>RES 3.09M OHM 1% 1/4W 1206</t>
  </si>
  <si>
    <t>RES SMD 10 OHM 1% 1/2W 0805</t>
  </si>
  <si>
    <t>RES 3.3M OHM 1% 1/4W 1206</t>
  </si>
  <si>
    <t>RES SMD 1 OHM 1% 1/10W 0603</t>
  </si>
  <si>
    <t>RES 82.5K OHM 1% 1/10W 0603</t>
  </si>
  <si>
    <t>RES SMD 1M OHM 1% 1/10W 0603</t>
  </si>
  <si>
    <t>RES 24.3K OHM 1% 1/10W 0603</t>
  </si>
  <si>
    <t>RES 3K OHM 1% 1/10W 0603</t>
  </si>
  <si>
    <t>Res Thick Film 1206 0.1 Ohm 1% 1/2W ±100ppm/°C Molded SMD SMD Paper T/R</t>
  </si>
  <si>
    <t>RES SMD 100K OHM 1% 1/10W 0603</t>
  </si>
  <si>
    <t>RES 75K OHM 1% 1/10W 0603</t>
  </si>
  <si>
    <t>RES 36.5K OHM 1% 1/10W 0603</t>
  </si>
  <si>
    <t>100mW Thick Film Resistors 75V ±100ppm/℃ ±1% 120kΩ 0603 Chip Resistor - Surface Mount ROHS</t>
  </si>
  <si>
    <t>RES 49.9K OHM 1% 1/10W 0603</t>
  </si>
  <si>
    <t>RES 390K OHM 1% 1/10W 0603</t>
  </si>
  <si>
    <t>RES 274K OHM 1% 1/10W 0603</t>
  </si>
  <si>
    <t>RES 10K OHM 1% 1/4W 0805</t>
  </si>
  <si>
    <t>RES SMD 10 OHM 1% 1/10W 0603</t>
  </si>
  <si>
    <t>RES SMD 0 OHM JUMPER 1/4W 1206</t>
  </si>
  <si>
    <t>RES SMD 36.5KOHM 0.1% 1/10W 0603</t>
  </si>
  <si>
    <t>RES SMD 8.45KOHM 0.1% 1/10W 0603</t>
  </si>
  <si>
    <t>RES 0 OHM JUMPER 1/16W 0402</t>
  </si>
  <si>
    <t>RES SMD 10K Ohm 1% 1/10W 0603</t>
  </si>
  <si>
    <t>RES 4.99M OHM 1% 1/4W 1206</t>
  </si>
  <si>
    <t>RES 2.2 OHM 1% 1/10W 0603</t>
  </si>
  <si>
    <t>RES 1.65K OHM 1% 1/4W 1206</t>
  </si>
  <si>
    <t>RES SMD 806K OHM 1% 1/10W 0603</t>
  </si>
  <si>
    <t>RES 150K OHM 1% 1/10W 0603</t>
  </si>
  <si>
    <t>RES SMD 100 OHM 1% 1/10W 0603</t>
  </si>
  <si>
    <t>RES SMD 44.2K OHM 1% 1/10W 0603</t>
  </si>
  <si>
    <t>RES SMD 20 OHM 1% 1/10W 0603</t>
  </si>
  <si>
    <t>RES 0 OHM JUMPER 1W 2512</t>
  </si>
  <si>
    <t>RES 1.5K OHM 1% 1/10W 0603</t>
  </si>
  <si>
    <t>RES 6.04K OHM 1% 1/10W 0603</t>
  </si>
  <si>
    <t>RES 25.5K OHM 1% 1/10W 0603</t>
  </si>
  <si>
    <t>RES 0 OHM JUMPER 1/10W 0603</t>
  </si>
  <si>
    <t>RES 17.4K OHM 1% 1/10W 0603</t>
  </si>
  <si>
    <t>62.5mW Thick Film Resistors 50V ±100ppm/℃ ±1% 249kΩ 0402 Chip Resistor - Surface Mount ROHS</t>
  </si>
  <si>
    <t>RES SMD 280K OHM 0.1% 1/10W 0603</t>
  </si>
  <si>
    <t>RES 2K OHM 1% 1/16W 0402</t>
  </si>
  <si>
    <t>RES 287K OHM 1% 1/16W 0402</t>
  </si>
  <si>
    <t>RES SMD 20K OHM 0.1% 1/10W 0603</t>
  </si>
  <si>
    <t>RES 0.0015 OHM 1% 10W 5931</t>
  </si>
  <si>
    <t>RES 93.1K OHM 1% 1/10W 0603</t>
  </si>
  <si>
    <t>RES SMD 5.36K OHM 1% 1/10W 0603</t>
  </si>
  <si>
    <t>RES 28.7K OHM 1% 1/20W 0201</t>
  </si>
  <si>
    <t>RES 10K OHM 1% 1/16W 0402</t>
  </si>
  <si>
    <t>RES 100K OHM 1% 1/16W 0402</t>
  </si>
  <si>
    <t>RES SMD 56K OHM 0.1% 1/16W 0402</t>
  </si>
  <si>
    <t>RES SMD 2K OHM 1% 1/10W 0603</t>
  </si>
  <si>
    <t>RES SMD 100K OHM 0.1% 1/10W 0603</t>
  </si>
  <si>
    <t>RES 0.01 OHM 1% 3W 2512</t>
  </si>
  <si>
    <t>RES SMD 93.1KOHM 0.1% 1/10W 0603</t>
  </si>
  <si>
    <t>RES 1.5K OHM 1% 1/16W 0402</t>
  </si>
  <si>
    <t>RES SMD 9.31KOHM 0.1% 1/10W 0603</t>
  </si>
  <si>
    <t>RES SMD 430K OHM 0.1% 1/10W 0603</t>
  </si>
  <si>
    <t>50mW Thick Film Resistors ±5% ±200ppm/℃ 68Ω 0201 Chip Resistor - Surface Mount ROHS</t>
  </si>
  <si>
    <t>50mW Thick Film Resistors ±1% ±200ppm/℃ 22kΩ 0201 Chip Resistor - Surface Mount ROHS</t>
  </si>
  <si>
    <t>ICL 10 OHM 20% 3A 9.5MM</t>
  </si>
  <si>
    <t>CMC 1MH 3A 2LN TH</t>
  </si>
  <si>
    <t>CMC 10MH 3A 2LN TH</t>
  </si>
  <si>
    <t>XFMR RES CONV AC/DC 500UH TH</t>
  </si>
  <si>
    <t>IC PFC CTRLR TRANSITION SOT23-6</t>
  </si>
  <si>
    <t>SYNC RECTIFIER FLYBACK</t>
  </si>
  <si>
    <t>HALF BRIDGE CONT WITH HV DRIVER</t>
  </si>
  <si>
    <t>Optocoupler DC-IN 1-CH Transistor DC-OUT 4-Pin PDIP</t>
  </si>
  <si>
    <t>IC VREF SHUNT ADJ 1% SOT23-3</t>
  </si>
  <si>
    <t>IC POWER REGULATOR</t>
  </si>
  <si>
    <t>IC OSC SGL TIMER 100KHZ 8-SOIC</t>
  </si>
  <si>
    <t>IC BATT CHG LI-ION 1-6CEL 16VQFN</t>
  </si>
  <si>
    <t>Active Low 1 VSOF-5 Monitors &amp; Reset Circuits ROHS</t>
  </si>
  <si>
    <t>VARISTOR 430V 3.5KA DISC 10MM</t>
  </si>
  <si>
    <t>Footprint</t>
  </si>
  <si>
    <t>DE1B3RA101KN4AN01F</t>
  </si>
  <si>
    <t>DE1B3RA221KN4AN01F</t>
  </si>
  <si>
    <t>X2P2224KN1B0130150080ES0</t>
  </si>
  <si>
    <t>R46KI347050M1K</t>
  </si>
  <si>
    <t>450MPK474J</t>
  </si>
  <si>
    <t>MPP105J2W10KN22605</t>
  </si>
  <si>
    <t>KN151M45025*30A</t>
  </si>
  <si>
    <t>Cap-1206</t>
  </si>
  <si>
    <t>Cap-0603</t>
  </si>
  <si>
    <t>CAP-0603</t>
  </si>
  <si>
    <t>ERM1HM100D11OT</t>
  </si>
  <si>
    <t>DE1E3RA222MA4BN01F</t>
  </si>
  <si>
    <t>KP223J2J0701</t>
  </si>
  <si>
    <t>EEU-FR1V681B</t>
  </si>
  <si>
    <t>ERF1VM222L25OT</t>
  </si>
  <si>
    <t>ERR1VM102G20OT</t>
  </si>
  <si>
    <t>50SVPF18M</t>
  </si>
  <si>
    <t>Cap-0805</t>
  </si>
  <si>
    <t>16SVPG270M</t>
  </si>
  <si>
    <t>RVT1E330M0505</t>
  </si>
  <si>
    <t>UUD1V150MCL1GS</t>
  </si>
  <si>
    <t>50SVPF68M</t>
  </si>
  <si>
    <t>Cap-0402</t>
  </si>
  <si>
    <t>GBU</t>
  </si>
  <si>
    <t>SMA</t>
  </si>
  <si>
    <t>TO-220-2</t>
  </si>
  <si>
    <t>SOD-323</t>
  </si>
  <si>
    <t>SMB_</t>
  </si>
  <si>
    <t>SOD-123</t>
  </si>
  <si>
    <t>DO-214AD</t>
  </si>
  <si>
    <t>SOD-523F</t>
  </si>
  <si>
    <t>SOD-123F</t>
  </si>
  <si>
    <t>TO-277</t>
  </si>
  <si>
    <t>T44001</t>
  </si>
  <si>
    <t>HDR1X2_</t>
  </si>
  <si>
    <t>X5050WV-03-N2SN</t>
  </si>
  <si>
    <t>DBT50G-7.62-2P-BK-P</t>
  </si>
  <si>
    <t>NB90-12S-S-C</t>
  </si>
  <si>
    <t>FC-PFC1060-850M-B-L</t>
  </si>
  <si>
    <t>FXL2213-1R0-M</t>
  </si>
  <si>
    <t>FAUL1350-1R5MT</t>
  </si>
  <si>
    <t>LED-0603</t>
  </si>
  <si>
    <t>TO-220-3</t>
  </si>
  <si>
    <t>TO-263</t>
  </si>
  <si>
    <t>SOT-23</t>
  </si>
  <si>
    <t>8-VSONP (5x6)</t>
  </si>
  <si>
    <t>SOT-723</t>
  </si>
  <si>
    <t>PowerPAK-SO-8</t>
  </si>
  <si>
    <t>Res-1206</t>
  </si>
  <si>
    <t>RES-0805</t>
  </si>
  <si>
    <t>Res-0603</t>
  </si>
  <si>
    <t>RES-0603</t>
  </si>
  <si>
    <t>Res-0402</t>
  </si>
  <si>
    <t>RES-2512</t>
  </si>
  <si>
    <t>Res-0201</t>
  </si>
  <si>
    <t>B57235S0100M000</t>
  </si>
  <si>
    <t>SOT-23-6</t>
  </si>
  <si>
    <t>SOT-23-5</t>
  </si>
  <si>
    <t>UCC256404DDBR</t>
  </si>
  <si>
    <t>DIP-4</t>
  </si>
  <si>
    <t>HTSSOP-28-EP</t>
  </si>
  <si>
    <t>QFN-16-EP(3.6x3.6)</t>
  </si>
  <si>
    <t>5-VSOF</t>
  </si>
  <si>
    <t>B72210S2271K101</t>
  </si>
  <si>
    <t>Manufacturer Part Number</t>
  </si>
  <si>
    <t>CC1206JKNPOCBN100</t>
  </si>
  <si>
    <t>CC0603KRX5R9BB104</t>
  </si>
  <si>
    <t>CC0603KRX7R8BB392</t>
  </si>
  <si>
    <t>06035A561JAT2A</t>
  </si>
  <si>
    <t>12063C474KAT2A</t>
  </si>
  <si>
    <t>CC0603KRX7R7BB224</t>
  </si>
  <si>
    <t>CL10B104KB8NNNL</t>
  </si>
  <si>
    <t>CC1206KKX7R9BB474</t>
  </si>
  <si>
    <t>C0603C100K5RACAUTO</t>
  </si>
  <si>
    <t>06031C102KAT2A</t>
  </si>
  <si>
    <t>UMK316AB7475KL-T</t>
  </si>
  <si>
    <t>GRM31A5C2J151JW01D</t>
  </si>
  <si>
    <t>GRM31A5C3A101JW01D</t>
  </si>
  <si>
    <t>CGA3E2X8R1H473M080AA</t>
  </si>
  <si>
    <t>CC1206KRX7R9BB104</t>
  </si>
  <si>
    <t>EEU-FR1V471B</t>
  </si>
  <si>
    <t>CC1206KKX5R9BB225</t>
  </si>
  <si>
    <t>GRM188R6YA225KA12D</t>
  </si>
  <si>
    <t>CC1206KKX7R7BB225</t>
  </si>
  <si>
    <t>GRM31CR72A105KA01K</t>
  </si>
  <si>
    <t>CC0603KRX5R7BB475</t>
  </si>
  <si>
    <t>CC0603KRX7R0BB103</t>
  </si>
  <si>
    <t>CC0603JRNPO9BN101</t>
  </si>
  <si>
    <t>CS1608X7R221K500NRB</t>
  </si>
  <si>
    <t>CC0603FRNPO9BN470</t>
  </si>
  <si>
    <t>CC0603KRX7R0BB472</t>
  </si>
  <si>
    <t>GRM21BR61H475KE51L</t>
  </si>
  <si>
    <t>ECP-U1C684MA5</t>
  </si>
  <si>
    <t>CC0603KRX7R9BB683</t>
  </si>
  <si>
    <t>CC0603KRX7R9BB222</t>
  </si>
  <si>
    <t>CC0603JRNPO9BN331</t>
  </si>
  <si>
    <t>CL10A105KB8NNNC</t>
  </si>
  <si>
    <t>CC0402JRNPO9BN220</t>
  </si>
  <si>
    <t>CC0402JRNPO9BN101</t>
  </si>
  <si>
    <t>GBU806</t>
  </si>
  <si>
    <t>MURA160T3G</t>
  </si>
  <si>
    <t>STTH8L06FP</t>
  </si>
  <si>
    <t>MMDL914-TP</t>
  </si>
  <si>
    <t>1N4148WS-7-F</t>
  </si>
  <si>
    <t>STPS160UY</t>
  </si>
  <si>
    <t>MMSZ5234B-7-F</t>
  </si>
  <si>
    <t>ES1JF</t>
  </si>
  <si>
    <t>1N4148W-7-F</t>
  </si>
  <si>
    <t>CDBUR0230L-HF</t>
  </si>
  <si>
    <t>B0520W</t>
  </si>
  <si>
    <t>ST2045</t>
  </si>
  <si>
    <t>SS24A</t>
  </si>
  <si>
    <t>X6511WV-02H-C60D30</t>
  </si>
  <si>
    <t>B2B-XH-A(LF)(SN)</t>
  </si>
  <si>
    <t>NCD0603R3</t>
  </si>
  <si>
    <t>NCD0603G2</t>
  </si>
  <si>
    <t>NCD0603O2</t>
  </si>
  <si>
    <t>IPP60R099P7XKSA1</t>
  </si>
  <si>
    <t>STB24NM60N-VB</t>
  </si>
  <si>
    <t>SI2309CDS-T1-E3</t>
  </si>
  <si>
    <t>MMBT4401-7-F</t>
  </si>
  <si>
    <t>SIHB24N80AE-GE3</t>
  </si>
  <si>
    <t>CSD19502Q5B</t>
  </si>
  <si>
    <t>CSD18511Q5A</t>
  </si>
  <si>
    <t>CSD19533Q5A</t>
  </si>
  <si>
    <t>CSD18531Q5A</t>
  </si>
  <si>
    <t>MMBT3904M</t>
  </si>
  <si>
    <t>SIR426DP-T1-GE3</t>
  </si>
  <si>
    <t>RC1206FR-073M09L</t>
  </si>
  <si>
    <t>CRCW080510R0FKEAHP</t>
  </si>
  <si>
    <t>RC1206FR-073M3L</t>
  </si>
  <si>
    <t>CRCW06031R00FKEA</t>
  </si>
  <si>
    <t>RC0603FR-0782K5L</t>
  </si>
  <si>
    <t>RC0603FR-071ML</t>
  </si>
  <si>
    <t>RC0603FR-0724K3L</t>
  </si>
  <si>
    <t>RC0603FR-073KL</t>
  </si>
  <si>
    <t>CSR1206FTR100</t>
  </si>
  <si>
    <t>RC0603FR-0775KL</t>
  </si>
  <si>
    <t>RC0603FR-0736K5L</t>
  </si>
  <si>
    <t>0603WAF1203T5E</t>
  </si>
  <si>
    <t>RC0603FR-0749K9L</t>
  </si>
  <si>
    <t>RC0603FR-07390KL</t>
  </si>
  <si>
    <t>RC0603FR-07274KL</t>
  </si>
  <si>
    <t>RC0805FR-7W10KL</t>
  </si>
  <si>
    <t>RC0603FR-0710RL</t>
  </si>
  <si>
    <t>CRCW12060000Z0EA</t>
  </si>
  <si>
    <t>RT0603BRE0736K5L</t>
  </si>
  <si>
    <t>RT0603BRD078K45L</t>
  </si>
  <si>
    <t>RC0402FR-070RL</t>
  </si>
  <si>
    <t>RC0603FR-0710KL</t>
  </si>
  <si>
    <t>RC1206FR-074M99L</t>
  </si>
  <si>
    <t>RC0603FR-072R2L</t>
  </si>
  <si>
    <t>RC1206FR-071K65L</t>
  </si>
  <si>
    <t>CRCW0603806KFKEA</t>
  </si>
  <si>
    <t>CRCW0603150KFKEA</t>
  </si>
  <si>
    <t>RC0603FR-07100RL</t>
  </si>
  <si>
    <t>CRCW060344K2FKEA</t>
  </si>
  <si>
    <t>CRCW060320R0FKEA</t>
  </si>
  <si>
    <t>RC2512JK-070RL</t>
  </si>
  <si>
    <t>RC0603FR-071K5L</t>
  </si>
  <si>
    <t>RC0603FR-076K04L</t>
  </si>
  <si>
    <t>RC0603FR-0725K5L</t>
  </si>
  <si>
    <t>RC0603JR-070RL</t>
  </si>
  <si>
    <t>RC0603FR-0717K4L</t>
  </si>
  <si>
    <t>0402WGF2493TCE</t>
  </si>
  <si>
    <t>RT0603BRD07280KL</t>
  </si>
  <si>
    <t>RC0402FR-072KL</t>
  </si>
  <si>
    <t>RC0402FR-07287KL</t>
  </si>
  <si>
    <t>RT0603BRD0720KL</t>
  </si>
  <si>
    <t>WSLP59311L500FEB</t>
  </si>
  <si>
    <t>RC0603FR-0793K1L</t>
  </si>
  <si>
    <t>CRCW06035K36FKEA</t>
  </si>
  <si>
    <t>RC0201FR-0728K7L</t>
  </si>
  <si>
    <t>RC0402FR-0710KL</t>
  </si>
  <si>
    <t>RC0402FR-07100KL</t>
  </si>
  <si>
    <t>RT0402BRD0756KL</t>
  </si>
  <si>
    <t>RC0603FR-072KL</t>
  </si>
  <si>
    <t>RT0603BRD07100KL</t>
  </si>
  <si>
    <t>PA2512FKE7T0R01E</t>
  </si>
  <si>
    <t>RT0603BRD0793K1L</t>
  </si>
  <si>
    <t>RC0402FR-071K5L</t>
  </si>
  <si>
    <t>RT0603BRE079K31L</t>
  </si>
  <si>
    <t>RT0603BRD07430KL</t>
  </si>
  <si>
    <t>0201WMJ0680TEE</t>
  </si>
  <si>
    <t>0201WMF2202TEE</t>
  </si>
  <si>
    <t>UCC28056DBVT</t>
  </si>
  <si>
    <t>UCC24612-2DBVR</t>
  </si>
  <si>
    <t>VO618A-3</t>
  </si>
  <si>
    <t>TLVH431AQDBZR</t>
  </si>
  <si>
    <t>LM5176QPWPRQ1</t>
  </si>
  <si>
    <t>NA555DR</t>
  </si>
  <si>
    <t>BQ24600RVAR</t>
  </si>
  <si>
    <t>BD4830FVE-TR</t>
  </si>
  <si>
    <t>Manufacturer</t>
  </si>
  <si>
    <t>Murata</t>
  </si>
  <si>
    <t>STE</t>
  </si>
  <si>
    <t>KEMET</t>
  </si>
  <si>
    <t>Rubycon</t>
  </si>
  <si>
    <t>KNSCHA</t>
  </si>
  <si>
    <t>KFSON</t>
  </si>
  <si>
    <t>Yageo</t>
  </si>
  <si>
    <t>Kyocera AVX</t>
  </si>
  <si>
    <t>Samsung</t>
  </si>
  <si>
    <t>AISHI</t>
  </si>
  <si>
    <t>KYET</t>
  </si>
  <si>
    <t>Taiyo Yuden</t>
  </si>
  <si>
    <t>Panasonic</t>
  </si>
  <si>
    <t>TDK</t>
  </si>
  <si>
    <t>Samwha Capacitors</t>
  </si>
  <si>
    <t>ROQANG</t>
  </si>
  <si>
    <t>Nichicon</t>
  </si>
  <si>
    <t>Diodes</t>
  </si>
  <si>
    <t>ON Semiconductor</t>
  </si>
  <si>
    <t>STMicroelectronics</t>
  </si>
  <si>
    <t>MCC</t>
  </si>
  <si>
    <t>Foshan Blue Rocket Elec</t>
  </si>
  <si>
    <t>Comchip</t>
  </si>
  <si>
    <t>SINEDEVICE</t>
  </si>
  <si>
    <t>MDD</t>
  </si>
  <si>
    <t>Guangdong Hottech</t>
  </si>
  <si>
    <t>Littelfuse Wickmann</t>
  </si>
  <si>
    <t>XFCN</t>
  </si>
  <si>
    <t>XKB</t>
  </si>
  <si>
    <t>JST</t>
  </si>
  <si>
    <t>XKB Connection</t>
  </si>
  <si>
    <t>DORABO</t>
  </si>
  <si>
    <t>NBC</t>
  </si>
  <si>
    <t>FANGCHENG</t>
  </si>
  <si>
    <t>Wurth Electronics</t>
  </si>
  <si>
    <t>cjiang</t>
  </si>
  <si>
    <t>Foshan NationStar Optoelectronics</t>
  </si>
  <si>
    <t>FOSHAN Nationstar Optoelectronics</t>
  </si>
  <si>
    <t>Infineon</t>
  </si>
  <si>
    <t>VBsemi Elec</t>
  </si>
  <si>
    <t>Vishay Siliconix</t>
  </si>
  <si>
    <t>Vishay</t>
  </si>
  <si>
    <t>Texas Instruments</t>
  </si>
  <si>
    <t>TECH PUBLIC</t>
  </si>
  <si>
    <t>Vishay Dale</t>
  </si>
  <si>
    <t>Stackpole Electronics</t>
  </si>
  <si>
    <t>YAGEO</t>
  </si>
  <si>
    <t>UNI-ROYAL(Uniroyal Elec)</t>
  </si>
  <si>
    <t>Royal Electronic Factory</t>
  </si>
  <si>
    <t>UNI-ROYAL</t>
  </si>
  <si>
    <t>TDK EPCOS</t>
  </si>
  <si>
    <t>Vishay Semiconductors</t>
  </si>
  <si>
    <t>Rohm</t>
  </si>
  <si>
    <t>100pF</t>
  </si>
  <si>
    <t>220pF</t>
  </si>
  <si>
    <t>220nF</t>
  </si>
  <si>
    <t>0.47UF</t>
  </si>
  <si>
    <t>470nF</t>
  </si>
  <si>
    <t>1uF</t>
  </si>
  <si>
    <t>150uF</t>
  </si>
  <si>
    <t>10pF</t>
  </si>
  <si>
    <t>100nF</t>
  </si>
  <si>
    <t>3.9nF</t>
  </si>
  <si>
    <t>560pF</t>
  </si>
  <si>
    <t>0.22uF</t>
  </si>
  <si>
    <t>0.1uF</t>
  </si>
  <si>
    <t>10uF</t>
  </si>
  <si>
    <t>0.47uF</t>
  </si>
  <si>
    <t>1000pF</t>
  </si>
  <si>
    <t>2.2nF</t>
  </si>
  <si>
    <t>22nF</t>
  </si>
  <si>
    <t>4.7uF</t>
  </si>
  <si>
    <t>150pF</t>
  </si>
  <si>
    <t>680uF</t>
  </si>
  <si>
    <t>2200uF</t>
  </si>
  <si>
    <t>47nF</t>
  </si>
  <si>
    <t>470uF</t>
  </si>
  <si>
    <t>2.2uF</t>
  </si>
  <si>
    <t>1000uF</t>
  </si>
  <si>
    <t>10nF</t>
  </si>
  <si>
    <t>47pF</t>
  </si>
  <si>
    <t>4.7nF</t>
  </si>
  <si>
    <t>DNP</t>
  </si>
  <si>
    <t>18uF</t>
  </si>
  <si>
    <t>4.7uf</t>
  </si>
  <si>
    <t>680nF</t>
  </si>
  <si>
    <t>68nF</t>
  </si>
  <si>
    <t>270uF</t>
  </si>
  <si>
    <t>330pF</t>
  </si>
  <si>
    <t>33uF</t>
  </si>
  <si>
    <t>15uF</t>
  </si>
  <si>
    <t>68uF</t>
  </si>
  <si>
    <t>22PF</t>
  </si>
  <si>
    <t>85uH</t>
  </si>
  <si>
    <t>100uH</t>
  </si>
  <si>
    <t>1uH</t>
  </si>
  <si>
    <t>1.5uH</t>
  </si>
  <si>
    <t>3.09MR</t>
  </si>
  <si>
    <t>10R</t>
  </si>
  <si>
    <t>3.3MR</t>
  </si>
  <si>
    <t>1R</t>
  </si>
  <si>
    <t>82.5K</t>
  </si>
  <si>
    <t>1M</t>
  </si>
  <si>
    <t>24.3K</t>
  </si>
  <si>
    <t>3K</t>
  </si>
  <si>
    <t>0.1R</t>
  </si>
  <si>
    <t>100K</t>
  </si>
  <si>
    <t>75K</t>
  </si>
  <si>
    <t>36.5K</t>
  </si>
  <si>
    <t>120K</t>
  </si>
  <si>
    <t>49K9</t>
  </si>
  <si>
    <t>390K</t>
  </si>
  <si>
    <t>274K</t>
  </si>
  <si>
    <t>10K</t>
  </si>
  <si>
    <t>0R</t>
  </si>
  <si>
    <t>8.45K</t>
  </si>
  <si>
    <t>4.99MR</t>
  </si>
  <si>
    <t>2.2R</t>
  </si>
  <si>
    <t>1.65K</t>
  </si>
  <si>
    <t>806K</t>
  </si>
  <si>
    <t>150K</t>
  </si>
  <si>
    <t>100R</t>
  </si>
  <si>
    <t>44.2K</t>
  </si>
  <si>
    <t>20R</t>
  </si>
  <si>
    <t>1.5K</t>
  </si>
  <si>
    <t>6.04K</t>
  </si>
  <si>
    <t>25.5K</t>
  </si>
  <si>
    <t>17.4K</t>
  </si>
  <si>
    <t>249K</t>
  </si>
  <si>
    <t>280K</t>
  </si>
  <si>
    <t>2K</t>
  </si>
  <si>
    <t>287K</t>
  </si>
  <si>
    <t>20K</t>
  </si>
  <si>
    <t>1.5mR</t>
  </si>
  <si>
    <t>93.1K</t>
  </si>
  <si>
    <t>5.36K</t>
  </si>
  <si>
    <t>28.7K</t>
  </si>
  <si>
    <t>56K</t>
  </si>
  <si>
    <t>10mR</t>
  </si>
  <si>
    <t>9.31K</t>
  </si>
  <si>
    <t>430K</t>
  </si>
  <si>
    <t>68R</t>
  </si>
  <si>
    <t>22K</t>
  </si>
  <si>
    <t>Quantity</t>
  </si>
  <si>
    <t>Value</t>
  </si>
  <si>
    <t>Remarks</t>
  </si>
  <si>
    <t>-</t>
  </si>
  <si>
    <t>Custom</t>
  </si>
  <si>
    <t>SOIC-8</t>
  </si>
  <si>
    <t>DO NOT MOUNT</t>
  </si>
  <si>
    <t>RT-C14-L00B-AA-09</t>
  </si>
  <si>
    <t>Plugin AC Power Connectors ROHS</t>
  </si>
  <si>
    <t>Peripheral</t>
  </si>
  <si>
    <t xml:space="preserve">Legion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</si>
</sst>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67"/>
  <sheetViews>
    <sheetView tabSelected="1" workbookViewId="0">
      <selection activeCell="O15" sqref="O15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15" bestFit="1" customWidth="1"/>
    <col min="7" max="7" width="33.42578125" bestFit="1" customWidth="1"/>
    <col min="8" max="8" width="21.42578125" bestFit="1" customWidth="1"/>
    <col min="9" max="9" width="6.42578125" bestFit="1" customWidth="1"/>
    <col min="10" max="10" width="8.7109375" bestFit="1" customWidth="1"/>
    <col min="11" max="11" width="15.28515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1"/>
      <c r="J1" s="21"/>
      <c r="K1" s="21"/>
    </row>
    <row r="2" spans="1:11" ht="15.75" thickBot="1" x14ac:dyDescent="0.3">
      <c r="A2" s="1"/>
      <c r="B2" s="5" t="s">
        <v>0</v>
      </c>
      <c r="C2" s="5" t="s">
        <v>1</v>
      </c>
      <c r="D2" s="5" t="s">
        <v>28</v>
      </c>
      <c r="E2" s="6" t="s">
        <v>193</v>
      </c>
      <c r="F2" s="5" t="s">
        <v>356</v>
      </c>
      <c r="G2" s="6" t="s">
        <v>421</v>
      </c>
      <c r="H2" s="5" t="s">
        <v>550</v>
      </c>
      <c r="I2" s="6" t="s">
        <v>695</v>
      </c>
      <c r="J2" s="5" t="s">
        <v>694</v>
      </c>
      <c r="K2" s="5" t="s">
        <v>696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29</v>
      </c>
      <c r="E3" s="8" t="s">
        <v>194</v>
      </c>
      <c r="F3" s="7" t="s">
        <v>698</v>
      </c>
      <c r="G3" s="8" t="s">
        <v>357</v>
      </c>
      <c r="H3" s="7" t="s">
        <v>551</v>
      </c>
      <c r="I3" s="8" t="s">
        <v>604</v>
      </c>
      <c r="J3" s="7">
        <v>2</v>
      </c>
      <c r="K3" s="7"/>
    </row>
    <row r="4" spans="1:11" ht="15.75" thickBot="1" x14ac:dyDescent="0.3">
      <c r="A4" s="1"/>
      <c r="B4" s="11">
        <f t="shared" ref="B4:B167" si="0">ROW(B4) - ROW($B$2)</f>
        <v>2</v>
      </c>
      <c r="C4" s="13" t="s">
        <v>3</v>
      </c>
      <c r="D4" s="9" t="s">
        <v>30</v>
      </c>
      <c r="E4" s="10" t="s">
        <v>195</v>
      </c>
      <c r="F4" s="7" t="s">
        <v>698</v>
      </c>
      <c r="G4" s="10" t="s">
        <v>358</v>
      </c>
      <c r="H4" s="9" t="s">
        <v>551</v>
      </c>
      <c r="I4" s="10" t="s">
        <v>605</v>
      </c>
      <c r="J4" s="9">
        <v>4</v>
      </c>
      <c r="K4" s="9"/>
    </row>
    <row r="5" spans="1:11" ht="24.75" thickBot="1" x14ac:dyDescent="0.3">
      <c r="A5" s="1"/>
      <c r="B5" s="11">
        <f>ROW(B5) - ROW($B$2)</f>
        <v>3</v>
      </c>
      <c r="C5" s="12" t="s">
        <v>3</v>
      </c>
      <c r="D5" s="7" t="s">
        <v>31</v>
      </c>
      <c r="E5" s="8" t="s">
        <v>196</v>
      </c>
      <c r="F5" s="7" t="s">
        <v>698</v>
      </c>
      <c r="G5" s="8" t="s">
        <v>359</v>
      </c>
      <c r="H5" s="7" t="s">
        <v>552</v>
      </c>
      <c r="I5" s="8" t="s">
        <v>606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32</v>
      </c>
      <c r="E6" s="10" t="s">
        <v>197</v>
      </c>
      <c r="F6" s="7" t="s">
        <v>698</v>
      </c>
      <c r="G6" s="10" t="s">
        <v>360</v>
      </c>
      <c r="H6" s="9" t="s">
        <v>553</v>
      </c>
      <c r="I6" s="10" t="s">
        <v>607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33</v>
      </c>
      <c r="E7" s="8" t="s">
        <v>198</v>
      </c>
      <c r="F7" s="7" t="s">
        <v>698</v>
      </c>
      <c r="G7" s="8" t="s">
        <v>361</v>
      </c>
      <c r="H7" s="7" t="s">
        <v>554</v>
      </c>
      <c r="I7" s="8" t="s">
        <v>608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4</v>
      </c>
      <c r="D8" s="9" t="s">
        <v>34</v>
      </c>
      <c r="E8" s="10" t="s">
        <v>199</v>
      </c>
      <c r="F8" s="7" t="s">
        <v>698</v>
      </c>
      <c r="G8" s="10" t="s">
        <v>362</v>
      </c>
      <c r="H8" s="9" t="s">
        <v>555</v>
      </c>
      <c r="I8" s="10" t="s">
        <v>609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4</v>
      </c>
      <c r="D9" s="7" t="s">
        <v>35</v>
      </c>
      <c r="E9" s="8" t="s">
        <v>200</v>
      </c>
      <c r="F9" s="7" t="s">
        <v>698</v>
      </c>
      <c r="G9" s="8" t="s">
        <v>363</v>
      </c>
      <c r="H9" s="7" t="s">
        <v>556</v>
      </c>
      <c r="I9" s="8" t="s">
        <v>610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4</v>
      </c>
      <c r="D10" s="9" t="s">
        <v>36</v>
      </c>
      <c r="E10" s="10" t="s">
        <v>201</v>
      </c>
      <c r="F10" s="9" t="s">
        <v>364</v>
      </c>
      <c r="G10" s="10" t="s">
        <v>422</v>
      </c>
      <c r="H10" s="9" t="s">
        <v>557</v>
      </c>
      <c r="I10" s="10" t="s">
        <v>611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4</v>
      </c>
      <c r="D11" s="7" t="s">
        <v>37</v>
      </c>
      <c r="E11" s="8" t="s">
        <v>202</v>
      </c>
      <c r="F11" s="7" t="s">
        <v>365</v>
      </c>
      <c r="G11" s="8" t="s">
        <v>423</v>
      </c>
      <c r="H11" s="7" t="s">
        <v>557</v>
      </c>
      <c r="I11" s="8" t="s">
        <v>612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4</v>
      </c>
      <c r="D12" s="9" t="s">
        <v>38</v>
      </c>
      <c r="E12" s="10" t="s">
        <v>203</v>
      </c>
      <c r="F12" s="9" t="s">
        <v>365</v>
      </c>
      <c r="G12" s="10" t="s">
        <v>424</v>
      </c>
      <c r="H12" s="9" t="s">
        <v>557</v>
      </c>
      <c r="I12" s="10" t="s">
        <v>613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4</v>
      </c>
      <c r="D13" s="7" t="s">
        <v>39</v>
      </c>
      <c r="E13" s="8" t="s">
        <v>204</v>
      </c>
      <c r="F13" s="7" t="s">
        <v>365</v>
      </c>
      <c r="G13" s="8" t="s">
        <v>425</v>
      </c>
      <c r="H13" s="7" t="s">
        <v>558</v>
      </c>
      <c r="I13" s="8" t="s">
        <v>614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4</v>
      </c>
      <c r="D14" s="9" t="s">
        <v>40</v>
      </c>
      <c r="E14" s="10" t="s">
        <v>205</v>
      </c>
      <c r="F14" s="9" t="s">
        <v>364</v>
      </c>
      <c r="G14" s="10" t="s">
        <v>426</v>
      </c>
      <c r="H14" s="9" t="s">
        <v>558</v>
      </c>
      <c r="I14" s="10" t="s">
        <v>608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4</v>
      </c>
      <c r="D15" s="7" t="s">
        <v>41</v>
      </c>
      <c r="E15" s="8" t="s">
        <v>206</v>
      </c>
      <c r="F15" s="7" t="s">
        <v>365</v>
      </c>
      <c r="G15" s="8" t="s">
        <v>427</v>
      </c>
      <c r="H15" s="7" t="s">
        <v>557</v>
      </c>
      <c r="I15" s="8" t="s">
        <v>615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4</v>
      </c>
      <c r="D16" s="9" t="s">
        <v>42</v>
      </c>
      <c r="E16" s="10" t="s">
        <v>207</v>
      </c>
      <c r="F16" s="9" t="s">
        <v>366</v>
      </c>
      <c r="G16" s="10" t="s">
        <v>428</v>
      </c>
      <c r="H16" s="9" t="s">
        <v>559</v>
      </c>
      <c r="I16" s="10" t="s">
        <v>616</v>
      </c>
      <c r="J16" s="9">
        <v>11</v>
      </c>
      <c r="K16" s="9"/>
    </row>
    <row r="17" spans="1:11" ht="48.75" thickBot="1" x14ac:dyDescent="0.3">
      <c r="A17" s="1"/>
      <c r="B17" s="11">
        <f>ROW(B17) - ROW($B$2)</f>
        <v>15</v>
      </c>
      <c r="C17" s="12" t="s">
        <v>4</v>
      </c>
      <c r="D17" s="7" t="s">
        <v>43</v>
      </c>
      <c r="E17" s="8" t="s">
        <v>208</v>
      </c>
      <c r="F17" s="7" t="s">
        <v>698</v>
      </c>
      <c r="G17" s="8" t="s">
        <v>367</v>
      </c>
      <c r="H17" s="7" t="s">
        <v>560</v>
      </c>
      <c r="I17" s="8" t="s">
        <v>617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4</v>
      </c>
      <c r="D18" s="9" t="s">
        <v>44</v>
      </c>
      <c r="E18" s="10" t="s">
        <v>209</v>
      </c>
      <c r="F18" s="9" t="s">
        <v>364</v>
      </c>
      <c r="G18" s="10" t="s">
        <v>429</v>
      </c>
      <c r="H18" s="9" t="s">
        <v>557</v>
      </c>
      <c r="I18" s="10" t="s">
        <v>618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4</v>
      </c>
      <c r="D19" s="7" t="s">
        <v>45</v>
      </c>
      <c r="E19" s="8" t="s">
        <v>210</v>
      </c>
      <c r="F19" s="7" t="s">
        <v>365</v>
      </c>
      <c r="G19" s="8" t="s">
        <v>430</v>
      </c>
      <c r="H19" s="7" t="s">
        <v>553</v>
      </c>
      <c r="I19" s="8" t="s">
        <v>611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4</v>
      </c>
      <c r="D20" s="9" t="s">
        <v>46</v>
      </c>
      <c r="E20" s="10" t="s">
        <v>211</v>
      </c>
      <c r="F20" s="9" t="s">
        <v>365</v>
      </c>
      <c r="G20" s="10" t="s">
        <v>431</v>
      </c>
      <c r="H20" s="9" t="s">
        <v>558</v>
      </c>
      <c r="I20" s="10" t="s">
        <v>619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2</v>
      </c>
      <c r="D21" s="7" t="s">
        <v>47</v>
      </c>
      <c r="E21" s="8" t="s">
        <v>212</v>
      </c>
      <c r="F21" s="7" t="s">
        <v>698</v>
      </c>
      <c r="G21" s="8" t="s">
        <v>368</v>
      </c>
      <c r="H21" s="7" t="s">
        <v>551</v>
      </c>
      <c r="I21" s="8" t="s">
        <v>620</v>
      </c>
      <c r="J21" s="7">
        <v>1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4</v>
      </c>
      <c r="D22" s="9" t="s">
        <v>48</v>
      </c>
      <c r="E22" s="10" t="s">
        <v>213</v>
      </c>
      <c r="F22" s="7" t="s">
        <v>698</v>
      </c>
      <c r="G22" s="10" t="s">
        <v>369</v>
      </c>
      <c r="H22" s="9" t="s">
        <v>561</v>
      </c>
      <c r="I22" s="10" t="s">
        <v>621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4</v>
      </c>
      <c r="D23" s="7" t="s">
        <v>49</v>
      </c>
      <c r="E23" s="8" t="s">
        <v>214</v>
      </c>
      <c r="F23" s="7" t="s">
        <v>364</v>
      </c>
      <c r="G23" s="8" t="s">
        <v>432</v>
      </c>
      <c r="H23" s="7" t="s">
        <v>562</v>
      </c>
      <c r="I23" s="8" t="s">
        <v>622</v>
      </c>
      <c r="J23" s="7">
        <v>5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4</v>
      </c>
      <c r="D24" s="9" t="s">
        <v>50</v>
      </c>
      <c r="E24" s="10" t="s">
        <v>215</v>
      </c>
      <c r="F24" s="9" t="s">
        <v>364</v>
      </c>
      <c r="G24" s="10" t="s">
        <v>433</v>
      </c>
      <c r="H24" s="9" t="s">
        <v>551</v>
      </c>
      <c r="I24" s="10" t="s">
        <v>623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51</v>
      </c>
      <c r="E25" s="8" t="s">
        <v>216</v>
      </c>
      <c r="F25" s="7" t="s">
        <v>364</v>
      </c>
      <c r="G25" s="8" t="s">
        <v>434</v>
      </c>
      <c r="H25" s="7" t="s">
        <v>551</v>
      </c>
      <c r="I25" s="8" t="s">
        <v>604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4</v>
      </c>
      <c r="D26" s="9" t="s">
        <v>52</v>
      </c>
      <c r="E26" s="10" t="s">
        <v>217</v>
      </c>
      <c r="F26" s="7" t="s">
        <v>698</v>
      </c>
      <c r="G26" s="10" t="s">
        <v>370</v>
      </c>
      <c r="H26" s="9" t="s">
        <v>563</v>
      </c>
      <c r="I26" s="10" t="s">
        <v>624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4</v>
      </c>
      <c r="D27" s="7" t="s">
        <v>53</v>
      </c>
      <c r="E27" s="8" t="s">
        <v>218</v>
      </c>
      <c r="F27" s="7" t="s">
        <v>698</v>
      </c>
      <c r="G27" s="8" t="s">
        <v>371</v>
      </c>
      <c r="H27" s="7" t="s">
        <v>560</v>
      </c>
      <c r="I27" s="8" t="s">
        <v>625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4</v>
      </c>
      <c r="D28" s="9" t="s">
        <v>54</v>
      </c>
      <c r="E28" s="10" t="s">
        <v>219</v>
      </c>
      <c r="F28" s="9" t="s">
        <v>365</v>
      </c>
      <c r="G28" s="10" t="s">
        <v>435</v>
      </c>
      <c r="H28" s="9" t="s">
        <v>564</v>
      </c>
      <c r="I28" s="10" t="s">
        <v>626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4</v>
      </c>
      <c r="D29" s="7" t="s">
        <v>55</v>
      </c>
      <c r="E29" s="8" t="s">
        <v>220</v>
      </c>
      <c r="F29" s="7" t="s">
        <v>364</v>
      </c>
      <c r="G29" s="8" t="s">
        <v>436</v>
      </c>
      <c r="H29" s="7" t="s">
        <v>557</v>
      </c>
      <c r="I29" s="8" t="s">
        <v>616</v>
      </c>
      <c r="J29" s="7">
        <v>3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56</v>
      </c>
      <c r="E30" s="10" t="s">
        <v>221</v>
      </c>
      <c r="F30" s="7" t="s">
        <v>698</v>
      </c>
      <c r="G30" s="10" t="s">
        <v>437</v>
      </c>
      <c r="H30" s="9" t="s">
        <v>563</v>
      </c>
      <c r="I30" s="10" t="s">
        <v>627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4</v>
      </c>
      <c r="D31" s="7" t="s">
        <v>57</v>
      </c>
      <c r="E31" s="8" t="s">
        <v>222</v>
      </c>
      <c r="F31" s="7" t="s">
        <v>364</v>
      </c>
      <c r="G31" s="8" t="s">
        <v>438</v>
      </c>
      <c r="H31" s="7" t="s">
        <v>557</v>
      </c>
      <c r="I31" s="8" t="s">
        <v>628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4</v>
      </c>
      <c r="D32" s="9" t="s">
        <v>58</v>
      </c>
      <c r="E32" s="10" t="s">
        <v>223</v>
      </c>
      <c r="F32" s="9" t="s">
        <v>365</v>
      </c>
      <c r="G32" s="10" t="s">
        <v>439</v>
      </c>
      <c r="H32" s="9" t="s">
        <v>551</v>
      </c>
      <c r="I32" s="10" t="s">
        <v>628</v>
      </c>
      <c r="J32" s="9">
        <v>4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2</v>
      </c>
      <c r="D33" s="7" t="s">
        <v>59</v>
      </c>
      <c r="E33" s="8" t="s">
        <v>224</v>
      </c>
      <c r="F33" s="7" t="s">
        <v>364</v>
      </c>
      <c r="G33" s="8" t="s">
        <v>440</v>
      </c>
      <c r="H33" s="7" t="s">
        <v>557</v>
      </c>
      <c r="I33" s="8" t="s">
        <v>628</v>
      </c>
      <c r="J33" s="7">
        <v>1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4</v>
      </c>
      <c r="D34" s="9" t="s">
        <v>60</v>
      </c>
      <c r="E34" s="10" t="s">
        <v>225</v>
      </c>
      <c r="F34" s="7" t="s">
        <v>698</v>
      </c>
      <c r="G34" s="10" t="s">
        <v>372</v>
      </c>
      <c r="H34" s="9" t="s">
        <v>560</v>
      </c>
      <c r="I34" s="10" t="s">
        <v>629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3" t="s">
        <v>4</v>
      </c>
      <c r="D35" s="7" t="s">
        <v>61</v>
      </c>
      <c r="E35" s="8" t="s">
        <v>226</v>
      </c>
      <c r="F35" s="7" t="s">
        <v>364</v>
      </c>
      <c r="G35" s="8" t="s">
        <v>441</v>
      </c>
      <c r="H35" s="7" t="s">
        <v>551</v>
      </c>
      <c r="I35" s="8" t="s">
        <v>609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4</v>
      </c>
      <c r="D36" s="9" t="s">
        <v>62</v>
      </c>
      <c r="E36" s="10" t="s">
        <v>227</v>
      </c>
      <c r="F36" s="9" t="s">
        <v>365</v>
      </c>
      <c r="G36" s="10" t="s">
        <v>442</v>
      </c>
      <c r="H36" s="9" t="s">
        <v>557</v>
      </c>
      <c r="I36" s="10" t="s">
        <v>622</v>
      </c>
      <c r="J36" s="9">
        <v>3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4</v>
      </c>
      <c r="D37" s="7" t="s">
        <v>63</v>
      </c>
      <c r="E37" s="8" t="s">
        <v>228</v>
      </c>
      <c r="F37" s="7" t="s">
        <v>365</v>
      </c>
      <c r="G37" s="8" t="s">
        <v>443</v>
      </c>
      <c r="H37" s="7" t="s">
        <v>557</v>
      </c>
      <c r="I37" s="8" t="s">
        <v>630</v>
      </c>
      <c r="J37" s="7">
        <v>2</v>
      </c>
      <c r="K37" s="7"/>
    </row>
    <row r="38" spans="1:11" ht="15.75" thickBot="1" x14ac:dyDescent="0.3">
      <c r="A38" s="1"/>
      <c r="B38" s="11">
        <f t="shared" si="0"/>
        <v>36</v>
      </c>
      <c r="C38" s="12" t="s">
        <v>4</v>
      </c>
      <c r="D38" s="9" t="s">
        <v>64</v>
      </c>
      <c r="E38" s="10" t="s">
        <v>229</v>
      </c>
      <c r="F38" s="9" t="s">
        <v>365</v>
      </c>
      <c r="G38" s="10" t="s">
        <v>444</v>
      </c>
      <c r="H38" s="9" t="s">
        <v>557</v>
      </c>
      <c r="I38" s="10" t="s">
        <v>604</v>
      </c>
      <c r="J38" s="9">
        <v>1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4</v>
      </c>
      <c r="D39" s="7" t="s">
        <v>65</v>
      </c>
      <c r="E39" s="8" t="s">
        <v>230</v>
      </c>
      <c r="F39" s="7" t="s">
        <v>365</v>
      </c>
      <c r="G39" s="8" t="s">
        <v>445</v>
      </c>
      <c r="H39" s="7" t="s">
        <v>565</v>
      </c>
      <c r="I39" s="8" t="s">
        <v>605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4</v>
      </c>
      <c r="D40" s="9" t="s">
        <v>66</v>
      </c>
      <c r="E40" s="10" t="s">
        <v>231</v>
      </c>
      <c r="F40" s="9" t="s">
        <v>365</v>
      </c>
      <c r="G40" s="10" t="s">
        <v>446</v>
      </c>
      <c r="H40" s="9" t="s">
        <v>557</v>
      </c>
      <c r="I40" s="10" t="s">
        <v>631</v>
      </c>
      <c r="J40" s="9">
        <v>2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4</v>
      </c>
      <c r="D41" s="7" t="s">
        <v>67</v>
      </c>
      <c r="E41" s="8" t="s">
        <v>232</v>
      </c>
      <c r="F41" s="7" t="s">
        <v>365</v>
      </c>
      <c r="G41" s="8" t="s">
        <v>447</v>
      </c>
      <c r="H41" s="7" t="s">
        <v>557</v>
      </c>
      <c r="I41" s="8" t="s">
        <v>632</v>
      </c>
      <c r="J41" s="7">
        <v>1</v>
      </c>
      <c r="K41" s="7"/>
    </row>
    <row r="42" spans="1:11" s="18" customFormat="1" ht="15.75" thickBot="1" x14ac:dyDescent="0.3">
      <c r="A42" s="17"/>
      <c r="B42" s="11">
        <f t="shared" si="0"/>
        <v>40</v>
      </c>
      <c r="C42" s="13" t="s">
        <v>4</v>
      </c>
      <c r="D42" s="14" t="s">
        <v>68</v>
      </c>
      <c r="E42" s="15" t="s">
        <v>231</v>
      </c>
      <c r="F42" s="14" t="s">
        <v>365</v>
      </c>
      <c r="G42" s="15" t="s">
        <v>446</v>
      </c>
      <c r="H42" s="14" t="s">
        <v>557</v>
      </c>
      <c r="I42" s="15" t="s">
        <v>633</v>
      </c>
      <c r="J42" s="14">
        <v>1</v>
      </c>
      <c r="K42" s="16" t="s">
        <v>700</v>
      </c>
    </row>
    <row r="43" spans="1:11" ht="15.75" thickBot="1" x14ac:dyDescent="0.3">
      <c r="A43" s="1"/>
      <c r="B43" s="11">
        <f>ROW(B43) - ROW($B$2)</f>
        <v>41</v>
      </c>
      <c r="C43" s="12" t="s">
        <v>2</v>
      </c>
      <c r="D43" s="7" t="s">
        <v>69</v>
      </c>
      <c r="E43" s="8" t="s">
        <v>233</v>
      </c>
      <c r="F43" s="7" t="s">
        <v>373</v>
      </c>
      <c r="G43" s="8" t="s">
        <v>373</v>
      </c>
      <c r="H43" s="7" t="s">
        <v>563</v>
      </c>
      <c r="I43" s="8" t="s">
        <v>634</v>
      </c>
      <c r="J43" s="7">
        <v>5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4</v>
      </c>
      <c r="D44" s="9" t="s">
        <v>70</v>
      </c>
      <c r="E44" s="10" t="s">
        <v>234</v>
      </c>
      <c r="F44" s="9" t="s">
        <v>374</v>
      </c>
      <c r="G44" s="10" t="s">
        <v>448</v>
      </c>
      <c r="H44" s="9" t="s">
        <v>551</v>
      </c>
      <c r="I44" s="10" t="s">
        <v>635</v>
      </c>
      <c r="J44" s="9">
        <v>10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2</v>
      </c>
      <c r="D45" s="7" t="s">
        <v>71</v>
      </c>
      <c r="E45" s="8" t="s">
        <v>235</v>
      </c>
      <c r="F45" s="7" t="s">
        <v>364</v>
      </c>
      <c r="G45" s="8" t="s">
        <v>449</v>
      </c>
      <c r="H45" s="7" t="s">
        <v>563</v>
      </c>
      <c r="I45" s="8" t="s">
        <v>636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2</v>
      </c>
      <c r="D46" s="9" t="s">
        <v>72</v>
      </c>
      <c r="E46" s="10" t="s">
        <v>236</v>
      </c>
      <c r="F46" s="9" t="s">
        <v>365</v>
      </c>
      <c r="G46" s="10" t="s">
        <v>450</v>
      </c>
      <c r="H46" s="9" t="s">
        <v>557</v>
      </c>
      <c r="I46" s="10" t="s">
        <v>637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4</v>
      </c>
      <c r="D47" s="7" t="s">
        <v>73</v>
      </c>
      <c r="E47" s="8" t="s">
        <v>237</v>
      </c>
      <c r="F47" s="7" t="s">
        <v>365</v>
      </c>
      <c r="G47" s="8" t="s">
        <v>451</v>
      </c>
      <c r="H47" s="7" t="s">
        <v>557</v>
      </c>
      <c r="I47" s="8" t="s">
        <v>620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2</v>
      </c>
      <c r="D48" s="9" t="s">
        <v>74</v>
      </c>
      <c r="E48" s="10" t="s">
        <v>238</v>
      </c>
      <c r="F48" s="7" t="s">
        <v>698</v>
      </c>
      <c r="G48" s="10" t="s">
        <v>375</v>
      </c>
      <c r="H48" s="9" t="s">
        <v>563</v>
      </c>
      <c r="I48" s="10" t="s">
        <v>638</v>
      </c>
      <c r="J48" s="9">
        <v>6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4</v>
      </c>
      <c r="D49" s="7" t="s">
        <v>75</v>
      </c>
      <c r="E49" s="8" t="s">
        <v>239</v>
      </c>
      <c r="F49" s="7" t="s">
        <v>365</v>
      </c>
      <c r="G49" s="8" t="s">
        <v>452</v>
      </c>
      <c r="H49" s="7" t="s">
        <v>557</v>
      </c>
      <c r="I49" s="8" t="s">
        <v>639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4</v>
      </c>
      <c r="D50" s="9" t="s">
        <v>76</v>
      </c>
      <c r="E50" s="10" t="s">
        <v>240</v>
      </c>
      <c r="F50" s="7" t="s">
        <v>698</v>
      </c>
      <c r="G50" s="10" t="s">
        <v>376</v>
      </c>
      <c r="H50" s="9" t="s">
        <v>566</v>
      </c>
      <c r="I50" s="10" t="s">
        <v>640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4</v>
      </c>
      <c r="D51" s="7" t="s">
        <v>77</v>
      </c>
      <c r="E51" s="8" t="s">
        <v>241</v>
      </c>
      <c r="F51" s="7" t="s">
        <v>698</v>
      </c>
      <c r="G51" s="8" t="s">
        <v>377</v>
      </c>
      <c r="H51" s="7" t="s">
        <v>567</v>
      </c>
      <c r="I51" s="8" t="s">
        <v>641</v>
      </c>
      <c r="J51" s="7">
        <v>2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4</v>
      </c>
      <c r="D52" s="9" t="s">
        <v>78</v>
      </c>
      <c r="E52" s="10" t="s">
        <v>242</v>
      </c>
      <c r="F52" s="9" t="s">
        <v>365</v>
      </c>
      <c r="G52" s="10" t="s">
        <v>453</v>
      </c>
      <c r="H52" s="9" t="s">
        <v>559</v>
      </c>
      <c r="I52" s="10" t="s">
        <v>609</v>
      </c>
      <c r="J52" s="9">
        <v>4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2</v>
      </c>
      <c r="D53" s="7" t="s">
        <v>79</v>
      </c>
      <c r="E53" s="8" t="s">
        <v>243</v>
      </c>
      <c r="F53" s="7" t="s">
        <v>698</v>
      </c>
      <c r="G53" s="8" t="s">
        <v>378</v>
      </c>
      <c r="H53" s="7" t="s">
        <v>563</v>
      </c>
      <c r="I53" s="8" t="s">
        <v>642</v>
      </c>
      <c r="J53" s="7">
        <v>5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4</v>
      </c>
      <c r="D54" s="9" t="s">
        <v>80</v>
      </c>
      <c r="E54" s="10" t="s">
        <v>244</v>
      </c>
      <c r="F54" s="9" t="s">
        <v>379</v>
      </c>
      <c r="G54" s="10" t="s">
        <v>454</v>
      </c>
      <c r="H54" s="9" t="s">
        <v>557</v>
      </c>
      <c r="I54" s="10" t="s">
        <v>643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4</v>
      </c>
      <c r="D55" s="7" t="s">
        <v>81</v>
      </c>
      <c r="E55" s="8" t="s">
        <v>245</v>
      </c>
      <c r="F55" s="7" t="s">
        <v>379</v>
      </c>
      <c r="G55" s="8" t="s">
        <v>455</v>
      </c>
      <c r="H55" s="7" t="s">
        <v>557</v>
      </c>
      <c r="I55" s="8" t="s">
        <v>604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6</v>
      </c>
      <c r="D56" s="9" t="s">
        <v>82</v>
      </c>
      <c r="E56" s="10" t="s">
        <v>246</v>
      </c>
      <c r="F56" s="9" t="s">
        <v>380</v>
      </c>
      <c r="G56" s="10" t="s">
        <v>456</v>
      </c>
      <c r="H56" s="9" t="s">
        <v>568</v>
      </c>
      <c r="I56" s="10" t="s">
        <v>697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6</v>
      </c>
      <c r="D57" s="7" t="s">
        <v>83</v>
      </c>
      <c r="E57" s="8" t="s">
        <v>247</v>
      </c>
      <c r="F57" s="7" t="s">
        <v>381</v>
      </c>
      <c r="G57" s="8" t="s">
        <v>457</v>
      </c>
      <c r="H57" s="7" t="s">
        <v>569</v>
      </c>
      <c r="I57" s="10" t="s">
        <v>697</v>
      </c>
      <c r="J57" s="7">
        <v>2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6</v>
      </c>
      <c r="D58" s="9" t="s">
        <v>84</v>
      </c>
      <c r="E58" s="10" t="s">
        <v>248</v>
      </c>
      <c r="F58" s="9" t="s">
        <v>382</v>
      </c>
      <c r="G58" s="10" t="s">
        <v>458</v>
      </c>
      <c r="H58" s="9" t="s">
        <v>570</v>
      </c>
      <c r="I58" s="10" t="s">
        <v>697</v>
      </c>
      <c r="J58" s="9">
        <v>1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6</v>
      </c>
      <c r="D59" s="7" t="s">
        <v>85</v>
      </c>
      <c r="E59" s="8" t="s">
        <v>249</v>
      </c>
      <c r="F59" s="7" t="s">
        <v>383</v>
      </c>
      <c r="G59" s="8" t="s">
        <v>459</v>
      </c>
      <c r="H59" s="7" t="s">
        <v>571</v>
      </c>
      <c r="I59" s="10" t="s">
        <v>697</v>
      </c>
      <c r="J59" s="7">
        <v>4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6</v>
      </c>
      <c r="D60" s="9" t="s">
        <v>86</v>
      </c>
      <c r="E60" s="10" t="s">
        <v>250</v>
      </c>
      <c r="F60" s="9" t="s">
        <v>383</v>
      </c>
      <c r="G60" s="10" t="s">
        <v>460</v>
      </c>
      <c r="H60" s="9" t="s">
        <v>568</v>
      </c>
      <c r="I60" s="10" t="s">
        <v>697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6</v>
      </c>
      <c r="D61" s="7" t="s">
        <v>87</v>
      </c>
      <c r="E61" s="8" t="s">
        <v>251</v>
      </c>
      <c r="F61" s="7" t="s">
        <v>384</v>
      </c>
      <c r="G61" s="8" t="s">
        <v>461</v>
      </c>
      <c r="H61" s="7" t="s">
        <v>570</v>
      </c>
      <c r="I61" s="10" t="s">
        <v>697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2" t="s">
        <v>6</v>
      </c>
      <c r="D62" s="9" t="s">
        <v>88</v>
      </c>
      <c r="E62" s="10" t="s">
        <v>252</v>
      </c>
      <c r="F62" s="9" t="s">
        <v>385</v>
      </c>
      <c r="G62" s="10" t="s">
        <v>462</v>
      </c>
      <c r="H62" s="9" t="s">
        <v>568</v>
      </c>
      <c r="I62" s="10" t="s">
        <v>697</v>
      </c>
      <c r="J62" s="9">
        <v>1</v>
      </c>
      <c r="K62" s="9"/>
    </row>
    <row r="63" spans="1:11" ht="36.75" thickBot="1" x14ac:dyDescent="0.3">
      <c r="A63" s="1"/>
      <c r="B63" s="11">
        <f>ROW(B63) - ROW($B$2)</f>
        <v>61</v>
      </c>
      <c r="C63" s="12" t="s">
        <v>6</v>
      </c>
      <c r="D63" s="7" t="s">
        <v>89</v>
      </c>
      <c r="E63" s="8" t="s">
        <v>253</v>
      </c>
      <c r="F63" s="7" t="s">
        <v>386</v>
      </c>
      <c r="G63" s="8" t="s">
        <v>463</v>
      </c>
      <c r="H63" s="7" t="s">
        <v>572</v>
      </c>
      <c r="I63" s="10" t="s">
        <v>697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6</v>
      </c>
      <c r="D64" s="9" t="s">
        <v>90</v>
      </c>
      <c r="E64" s="10" t="s">
        <v>254</v>
      </c>
      <c r="F64" s="9" t="s">
        <v>385</v>
      </c>
      <c r="G64" s="10" t="s">
        <v>464</v>
      </c>
      <c r="H64" s="9" t="s">
        <v>568</v>
      </c>
      <c r="I64" s="10" t="s">
        <v>697</v>
      </c>
      <c r="J64" s="9">
        <v>2</v>
      </c>
      <c r="K64" s="9"/>
    </row>
    <row r="65" spans="1:11" ht="36.75" thickBot="1" x14ac:dyDescent="0.3">
      <c r="A65" s="1"/>
      <c r="B65" s="11">
        <f>ROW(B65) - ROW($B$2)</f>
        <v>63</v>
      </c>
      <c r="C65" s="12" t="s">
        <v>6</v>
      </c>
      <c r="D65" s="7" t="s">
        <v>91</v>
      </c>
      <c r="E65" s="8" t="s">
        <v>255</v>
      </c>
      <c r="F65" s="7" t="s">
        <v>387</v>
      </c>
      <c r="G65" s="8" t="s">
        <v>465</v>
      </c>
      <c r="H65" s="7" t="s">
        <v>573</v>
      </c>
      <c r="I65" s="10" t="s">
        <v>697</v>
      </c>
      <c r="J65" s="7">
        <v>2</v>
      </c>
      <c r="K65" s="7"/>
    </row>
    <row r="66" spans="1:11" ht="24.75" thickBot="1" x14ac:dyDescent="0.3">
      <c r="A66" s="1"/>
      <c r="B66" s="11">
        <f t="shared" si="0"/>
        <v>64</v>
      </c>
      <c r="C66" s="13" t="s">
        <v>6</v>
      </c>
      <c r="D66" s="9" t="s">
        <v>92</v>
      </c>
      <c r="E66" s="10" t="s">
        <v>256</v>
      </c>
      <c r="F66" s="9" t="s">
        <v>388</v>
      </c>
      <c r="G66" s="10" t="s">
        <v>466</v>
      </c>
      <c r="H66" s="9" t="s">
        <v>574</v>
      </c>
      <c r="I66" s="10" t="s">
        <v>697</v>
      </c>
      <c r="J66" s="9">
        <v>1</v>
      </c>
      <c r="K66" s="9"/>
    </row>
    <row r="67" spans="1:11" ht="36.75" thickBot="1" x14ac:dyDescent="0.3">
      <c r="A67" s="1"/>
      <c r="B67" s="11">
        <f>ROW(B67) - ROW($B$2)</f>
        <v>65</v>
      </c>
      <c r="C67" s="12" t="s">
        <v>6</v>
      </c>
      <c r="D67" s="7" t="s">
        <v>93</v>
      </c>
      <c r="E67" s="8" t="s">
        <v>257</v>
      </c>
      <c r="F67" s="7" t="s">
        <v>389</v>
      </c>
      <c r="G67" s="8" t="s">
        <v>467</v>
      </c>
      <c r="H67" s="7" t="s">
        <v>575</v>
      </c>
      <c r="I67" s="10" t="s">
        <v>697</v>
      </c>
      <c r="J67" s="7">
        <v>1</v>
      </c>
      <c r="K67" s="7"/>
    </row>
    <row r="68" spans="1:11" ht="24.75" thickBot="1" x14ac:dyDescent="0.3">
      <c r="A68" s="1"/>
      <c r="B68" s="11">
        <f t="shared" si="0"/>
        <v>66</v>
      </c>
      <c r="C68" s="12" t="s">
        <v>6</v>
      </c>
      <c r="D68" s="9" t="s">
        <v>94</v>
      </c>
      <c r="E68" s="10" t="s">
        <v>258</v>
      </c>
      <c r="F68" s="9" t="s">
        <v>381</v>
      </c>
      <c r="G68" s="10" t="s">
        <v>468</v>
      </c>
      <c r="H68" s="9" t="s">
        <v>576</v>
      </c>
      <c r="I68" s="10" t="s">
        <v>697</v>
      </c>
      <c r="J68" s="9">
        <v>1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7</v>
      </c>
      <c r="D69" s="7" t="s">
        <v>95</v>
      </c>
      <c r="E69" s="8" t="s">
        <v>259</v>
      </c>
      <c r="F69" s="7" t="s">
        <v>698</v>
      </c>
      <c r="G69" s="8">
        <v>37215000001</v>
      </c>
      <c r="H69" s="7" t="s">
        <v>577</v>
      </c>
      <c r="I69" s="10" t="s">
        <v>697</v>
      </c>
      <c r="J69" s="7">
        <v>1</v>
      </c>
      <c r="K69" s="7"/>
    </row>
    <row r="70" spans="1:11" ht="24.75" thickBot="1" x14ac:dyDescent="0.3">
      <c r="A70" s="1"/>
      <c r="B70" s="11">
        <f t="shared" si="0"/>
        <v>68</v>
      </c>
      <c r="C70" s="13" t="s">
        <v>11</v>
      </c>
      <c r="D70" s="9" t="s">
        <v>96</v>
      </c>
      <c r="E70" s="10" t="s">
        <v>260</v>
      </c>
      <c r="F70" s="7" t="s">
        <v>698</v>
      </c>
      <c r="G70" s="10" t="s">
        <v>390</v>
      </c>
      <c r="H70" s="9" t="s">
        <v>578</v>
      </c>
      <c r="I70" s="10" t="s">
        <v>697</v>
      </c>
      <c r="J70" s="9">
        <v>1</v>
      </c>
      <c r="K70" s="9"/>
    </row>
    <row r="71" spans="1:11" ht="48.75" thickBot="1" x14ac:dyDescent="0.3">
      <c r="A71" s="1"/>
      <c r="B71" s="11">
        <f>ROW(B71) - ROW($B$2)</f>
        <v>69</v>
      </c>
      <c r="C71" s="12" t="s">
        <v>8</v>
      </c>
      <c r="D71" s="7" t="s">
        <v>97</v>
      </c>
      <c r="E71" s="8" t="s">
        <v>261</v>
      </c>
      <c r="F71" s="7" t="s">
        <v>391</v>
      </c>
      <c r="G71" s="8" t="s">
        <v>469</v>
      </c>
      <c r="H71" s="7" t="s">
        <v>579</v>
      </c>
      <c r="I71" s="10" t="s">
        <v>697</v>
      </c>
      <c r="J71" s="7">
        <v>1</v>
      </c>
      <c r="K71" s="7"/>
    </row>
    <row r="72" spans="1:11" ht="36.75" thickBot="1" x14ac:dyDescent="0.3">
      <c r="A72" s="1"/>
      <c r="B72" s="11">
        <f t="shared" si="0"/>
        <v>70</v>
      </c>
      <c r="C72" s="13" t="s">
        <v>9</v>
      </c>
      <c r="D72" s="9" t="s">
        <v>98</v>
      </c>
      <c r="E72" s="10" t="s">
        <v>262</v>
      </c>
      <c r="F72" s="7" t="s">
        <v>698</v>
      </c>
      <c r="G72" s="10" t="s">
        <v>470</v>
      </c>
      <c r="H72" s="9" t="s">
        <v>580</v>
      </c>
      <c r="I72" s="10" t="s">
        <v>697</v>
      </c>
      <c r="J72" s="9">
        <v>1</v>
      </c>
      <c r="K72" s="9"/>
    </row>
    <row r="73" spans="1:11" ht="36.75" thickBot="1" x14ac:dyDescent="0.3">
      <c r="A73" s="1"/>
      <c r="B73" s="11">
        <f>ROW(B73) - ROW($B$2)</f>
        <v>71</v>
      </c>
      <c r="C73" s="12" t="s">
        <v>10</v>
      </c>
      <c r="D73" s="7" t="s">
        <v>99</v>
      </c>
      <c r="E73" s="8" t="s">
        <v>263</v>
      </c>
      <c r="F73" s="7" t="s">
        <v>698</v>
      </c>
      <c r="G73" s="8" t="s">
        <v>392</v>
      </c>
      <c r="H73" s="7" t="s">
        <v>581</v>
      </c>
      <c r="I73" s="10" t="s">
        <v>697</v>
      </c>
      <c r="J73" s="7">
        <v>1</v>
      </c>
      <c r="K73" s="7"/>
    </row>
    <row r="74" spans="1:11" ht="60.75" thickBot="1" x14ac:dyDescent="0.3">
      <c r="A74" s="1"/>
      <c r="B74" s="11">
        <f t="shared" si="0"/>
        <v>72</v>
      </c>
      <c r="C74" s="13" t="s">
        <v>11</v>
      </c>
      <c r="D74" s="9" t="s">
        <v>100</v>
      </c>
      <c r="E74" s="10" t="s">
        <v>264</v>
      </c>
      <c r="F74" s="7" t="s">
        <v>698</v>
      </c>
      <c r="G74" s="10" t="s">
        <v>393</v>
      </c>
      <c r="H74" s="9" t="s">
        <v>582</v>
      </c>
      <c r="I74" s="10" t="s">
        <v>697</v>
      </c>
      <c r="J74" s="9">
        <v>1</v>
      </c>
      <c r="K74" s="9"/>
    </row>
    <row r="75" spans="1:11" ht="36.75" thickBot="1" x14ac:dyDescent="0.3">
      <c r="A75" s="1"/>
      <c r="B75" s="11">
        <f>ROW(B75) - ROW($B$2)</f>
        <v>73</v>
      </c>
      <c r="C75" s="12" t="s">
        <v>12</v>
      </c>
      <c r="D75" s="7" t="s">
        <v>101</v>
      </c>
      <c r="E75" s="8" t="s">
        <v>265</v>
      </c>
      <c r="F75" s="7" t="s">
        <v>698</v>
      </c>
      <c r="G75" s="8" t="s">
        <v>394</v>
      </c>
      <c r="H75" s="7" t="s">
        <v>583</v>
      </c>
      <c r="I75" s="10" t="s">
        <v>697</v>
      </c>
      <c r="J75" s="7">
        <v>1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13</v>
      </c>
      <c r="D76" s="9" t="s">
        <v>102</v>
      </c>
      <c r="E76" s="10" t="s">
        <v>266</v>
      </c>
      <c r="F76" s="7" t="s">
        <v>698</v>
      </c>
      <c r="G76" s="10" t="s">
        <v>395</v>
      </c>
      <c r="H76" s="9" t="s">
        <v>584</v>
      </c>
      <c r="I76" s="10" t="s">
        <v>644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14</v>
      </c>
      <c r="D77" s="7" t="s">
        <v>103</v>
      </c>
      <c r="E77" s="8" t="s">
        <v>267</v>
      </c>
      <c r="F77" s="7" t="s">
        <v>698</v>
      </c>
      <c r="G77" s="8">
        <v>7447021</v>
      </c>
      <c r="H77" s="7" t="s">
        <v>585</v>
      </c>
      <c r="I77" s="8" t="s">
        <v>645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14</v>
      </c>
      <c r="D78" s="9" t="s">
        <v>104</v>
      </c>
      <c r="E78" s="10" t="s">
        <v>268</v>
      </c>
      <c r="F78" s="7" t="s">
        <v>698</v>
      </c>
      <c r="G78" s="10" t="s">
        <v>396</v>
      </c>
      <c r="H78" s="9" t="s">
        <v>586</v>
      </c>
      <c r="I78" s="10" t="s">
        <v>646</v>
      </c>
      <c r="J78" s="9">
        <v>1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14</v>
      </c>
      <c r="D79" s="7" t="s">
        <v>105</v>
      </c>
      <c r="E79" s="8" t="s">
        <v>269</v>
      </c>
      <c r="F79" s="7" t="s">
        <v>698</v>
      </c>
      <c r="G79" s="8" t="s">
        <v>397</v>
      </c>
      <c r="H79" s="7" t="s">
        <v>586</v>
      </c>
      <c r="I79" s="8" t="s">
        <v>647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15</v>
      </c>
      <c r="D80" s="9" t="s">
        <v>106</v>
      </c>
      <c r="E80" s="10" t="s">
        <v>270</v>
      </c>
      <c r="F80" s="9" t="s">
        <v>398</v>
      </c>
      <c r="G80" s="10" t="s">
        <v>471</v>
      </c>
      <c r="H80" s="9" t="s">
        <v>587</v>
      </c>
      <c r="I80" s="10" t="s">
        <v>697</v>
      </c>
      <c r="J80" s="9">
        <v>1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15</v>
      </c>
      <c r="D81" s="7" t="s">
        <v>107</v>
      </c>
      <c r="E81" s="8" t="s">
        <v>271</v>
      </c>
      <c r="F81" s="7" t="s">
        <v>398</v>
      </c>
      <c r="G81" s="8" t="s">
        <v>472</v>
      </c>
      <c r="H81" s="7" t="s">
        <v>587</v>
      </c>
      <c r="I81" s="10" t="s">
        <v>697</v>
      </c>
      <c r="J81" s="7">
        <v>1</v>
      </c>
      <c r="K81" s="7"/>
    </row>
    <row r="82" spans="1:11" ht="48.75" thickBot="1" x14ac:dyDescent="0.3">
      <c r="A82" s="1"/>
      <c r="B82" s="11">
        <f t="shared" si="0"/>
        <v>80</v>
      </c>
      <c r="C82" s="13" t="s">
        <v>15</v>
      </c>
      <c r="D82" s="9" t="s">
        <v>108</v>
      </c>
      <c r="E82" s="10" t="s">
        <v>272</v>
      </c>
      <c r="F82" s="9" t="s">
        <v>398</v>
      </c>
      <c r="G82" s="10" t="s">
        <v>473</v>
      </c>
      <c r="H82" s="9" t="s">
        <v>588</v>
      </c>
      <c r="I82" s="10" t="s">
        <v>697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16</v>
      </c>
      <c r="D83" s="7" t="s">
        <v>109</v>
      </c>
      <c r="E83" s="8" t="s">
        <v>273</v>
      </c>
      <c r="F83" s="7" t="s">
        <v>399</v>
      </c>
      <c r="G83" s="8" t="s">
        <v>474</v>
      </c>
      <c r="H83" s="7" t="s">
        <v>589</v>
      </c>
      <c r="I83" s="10" t="s">
        <v>697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16</v>
      </c>
      <c r="D84" s="9" t="s">
        <v>110</v>
      </c>
      <c r="E84" s="10" t="s">
        <v>274</v>
      </c>
      <c r="F84" s="9" t="s">
        <v>400</v>
      </c>
      <c r="G84" s="10" t="s">
        <v>475</v>
      </c>
      <c r="H84" s="9" t="s">
        <v>590</v>
      </c>
      <c r="I84" s="10" t="s">
        <v>697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17</v>
      </c>
      <c r="D85" s="7" t="s">
        <v>111</v>
      </c>
      <c r="E85" s="8" t="s">
        <v>275</v>
      </c>
      <c r="F85" s="7" t="s">
        <v>401</v>
      </c>
      <c r="G85" s="8" t="s">
        <v>476</v>
      </c>
      <c r="H85" s="7" t="s">
        <v>591</v>
      </c>
      <c r="I85" s="10" t="s">
        <v>697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18</v>
      </c>
      <c r="D86" s="9" t="s">
        <v>112</v>
      </c>
      <c r="E86" s="10" t="s">
        <v>276</v>
      </c>
      <c r="F86" s="9" t="s">
        <v>401</v>
      </c>
      <c r="G86" s="10" t="s">
        <v>477</v>
      </c>
      <c r="H86" s="9" t="s">
        <v>568</v>
      </c>
      <c r="I86" s="10" t="s">
        <v>697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16</v>
      </c>
      <c r="D87" s="7" t="s">
        <v>113</v>
      </c>
      <c r="E87" s="8" t="s">
        <v>277</v>
      </c>
      <c r="F87" s="7" t="s">
        <v>400</v>
      </c>
      <c r="G87" s="8" t="s">
        <v>478</v>
      </c>
      <c r="H87" s="7" t="s">
        <v>592</v>
      </c>
      <c r="I87" s="10" t="s">
        <v>697</v>
      </c>
      <c r="J87" s="7">
        <v>2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19</v>
      </c>
      <c r="D88" s="9" t="s">
        <v>114</v>
      </c>
      <c r="E88" s="10" t="s">
        <v>278</v>
      </c>
      <c r="F88" s="9" t="s">
        <v>402</v>
      </c>
      <c r="G88" s="10" t="s">
        <v>479</v>
      </c>
      <c r="H88" s="9" t="s">
        <v>593</v>
      </c>
      <c r="I88" s="10" t="s">
        <v>697</v>
      </c>
      <c r="J88" s="9">
        <v>2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20</v>
      </c>
      <c r="D89" s="7" t="s">
        <v>115</v>
      </c>
      <c r="E89" s="8" t="s">
        <v>279</v>
      </c>
      <c r="F89" s="7" t="s">
        <v>402</v>
      </c>
      <c r="G89" s="8" t="s">
        <v>480</v>
      </c>
      <c r="H89" s="7" t="s">
        <v>593</v>
      </c>
      <c r="I89" s="10" t="s">
        <v>697</v>
      </c>
      <c r="J89" s="7">
        <v>1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17</v>
      </c>
      <c r="D90" s="9" t="s">
        <v>116</v>
      </c>
      <c r="E90" s="10" t="s">
        <v>280</v>
      </c>
      <c r="F90" s="9" t="s">
        <v>402</v>
      </c>
      <c r="G90" s="10" t="s">
        <v>481</v>
      </c>
      <c r="H90" s="9" t="s">
        <v>593</v>
      </c>
      <c r="I90" s="10" t="s">
        <v>697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17</v>
      </c>
      <c r="D91" s="7" t="s">
        <v>117</v>
      </c>
      <c r="E91" s="8" t="s">
        <v>281</v>
      </c>
      <c r="F91" s="7" t="s">
        <v>402</v>
      </c>
      <c r="G91" s="8" t="s">
        <v>482</v>
      </c>
      <c r="H91" s="7" t="s">
        <v>593</v>
      </c>
      <c r="I91" s="10" t="s">
        <v>697</v>
      </c>
      <c r="J91" s="7">
        <v>1</v>
      </c>
      <c r="K91" s="7"/>
    </row>
    <row r="92" spans="1:11" ht="48.75" thickBot="1" x14ac:dyDescent="0.3">
      <c r="A92" s="1"/>
      <c r="B92" s="11">
        <f t="shared" si="0"/>
        <v>90</v>
      </c>
      <c r="C92" s="13" t="s">
        <v>19</v>
      </c>
      <c r="D92" s="9" t="s">
        <v>118</v>
      </c>
      <c r="E92" s="10" t="s">
        <v>282</v>
      </c>
      <c r="F92" s="9" t="s">
        <v>403</v>
      </c>
      <c r="G92" s="10" t="s">
        <v>483</v>
      </c>
      <c r="H92" s="9" t="s">
        <v>594</v>
      </c>
      <c r="I92" s="10" t="s">
        <v>697</v>
      </c>
      <c r="J92" s="9">
        <v>4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17</v>
      </c>
      <c r="D93" s="7" t="s">
        <v>119</v>
      </c>
      <c r="E93" s="8" t="s">
        <v>283</v>
      </c>
      <c r="F93" s="7" t="s">
        <v>404</v>
      </c>
      <c r="G93" s="8" t="s">
        <v>484</v>
      </c>
      <c r="H93" s="7" t="s">
        <v>592</v>
      </c>
      <c r="I93" s="10" t="s">
        <v>697</v>
      </c>
      <c r="J93" s="7">
        <v>2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21</v>
      </c>
      <c r="D94" s="9" t="s">
        <v>120</v>
      </c>
      <c r="E94" s="10" t="s">
        <v>284</v>
      </c>
      <c r="F94" s="9" t="s">
        <v>405</v>
      </c>
      <c r="G94" s="10" t="s">
        <v>485</v>
      </c>
      <c r="H94" s="9" t="s">
        <v>557</v>
      </c>
      <c r="I94" s="10" t="s">
        <v>648</v>
      </c>
      <c r="J94" s="9">
        <v>2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21</v>
      </c>
      <c r="D95" s="7" t="s">
        <v>121</v>
      </c>
      <c r="E95" s="8" t="s">
        <v>285</v>
      </c>
      <c r="F95" s="7" t="s">
        <v>406</v>
      </c>
      <c r="G95" s="8" t="s">
        <v>486</v>
      </c>
      <c r="H95" s="7" t="s">
        <v>592</v>
      </c>
      <c r="I95" s="8" t="s">
        <v>649</v>
      </c>
      <c r="J95" s="7">
        <v>2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21</v>
      </c>
      <c r="D96" s="9" t="s">
        <v>122</v>
      </c>
      <c r="E96" s="10" t="s">
        <v>286</v>
      </c>
      <c r="F96" s="9" t="s">
        <v>405</v>
      </c>
      <c r="G96" s="10" t="s">
        <v>487</v>
      </c>
      <c r="H96" s="9" t="s">
        <v>557</v>
      </c>
      <c r="I96" s="10" t="s">
        <v>650</v>
      </c>
      <c r="J96" s="9">
        <v>4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21</v>
      </c>
      <c r="D97" s="7" t="s">
        <v>123</v>
      </c>
      <c r="E97" s="8" t="s">
        <v>287</v>
      </c>
      <c r="F97" s="7" t="s">
        <v>407</v>
      </c>
      <c r="G97" s="8" t="s">
        <v>488</v>
      </c>
      <c r="H97" s="7" t="s">
        <v>595</v>
      </c>
      <c r="I97" s="8" t="s">
        <v>651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21</v>
      </c>
      <c r="D98" s="9" t="s">
        <v>124</v>
      </c>
      <c r="E98" s="10" t="s">
        <v>288</v>
      </c>
      <c r="F98" s="9" t="s">
        <v>407</v>
      </c>
      <c r="G98" s="10" t="s">
        <v>489</v>
      </c>
      <c r="H98" s="9" t="s">
        <v>557</v>
      </c>
      <c r="I98" s="10" t="s">
        <v>652</v>
      </c>
      <c r="J98" s="9">
        <v>1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21</v>
      </c>
      <c r="D99" s="7" t="s">
        <v>125</v>
      </c>
      <c r="E99" s="8" t="s">
        <v>289</v>
      </c>
      <c r="F99" s="7" t="s">
        <v>407</v>
      </c>
      <c r="G99" s="8" t="s">
        <v>490</v>
      </c>
      <c r="H99" s="7" t="s">
        <v>557</v>
      </c>
      <c r="I99" s="8" t="s">
        <v>653</v>
      </c>
      <c r="J99" s="7">
        <v>1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22</v>
      </c>
      <c r="D100" s="9" t="s">
        <v>126</v>
      </c>
      <c r="E100" s="10" t="s">
        <v>290</v>
      </c>
      <c r="F100" s="9" t="s">
        <v>407</v>
      </c>
      <c r="G100" s="10" t="s">
        <v>491</v>
      </c>
      <c r="H100" s="9" t="s">
        <v>557</v>
      </c>
      <c r="I100" s="10" t="s">
        <v>654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21</v>
      </c>
      <c r="D101" s="7" t="s">
        <v>127</v>
      </c>
      <c r="E101" s="8" t="s">
        <v>291</v>
      </c>
      <c r="F101" s="7" t="s">
        <v>407</v>
      </c>
      <c r="G101" s="8" t="s">
        <v>492</v>
      </c>
      <c r="H101" s="7" t="s">
        <v>557</v>
      </c>
      <c r="I101" s="8" t="s">
        <v>655</v>
      </c>
      <c r="J101" s="7">
        <v>1</v>
      </c>
      <c r="K101" s="7"/>
    </row>
    <row r="102" spans="1:11" ht="36.75" thickBot="1" x14ac:dyDescent="0.3">
      <c r="A102" s="1"/>
      <c r="B102" s="11">
        <f t="shared" si="0"/>
        <v>100</v>
      </c>
      <c r="C102" s="13" t="s">
        <v>21</v>
      </c>
      <c r="D102" s="9" t="s">
        <v>128</v>
      </c>
      <c r="E102" s="10" t="s">
        <v>292</v>
      </c>
      <c r="F102" s="9" t="s">
        <v>405</v>
      </c>
      <c r="G102" s="10" t="s">
        <v>493</v>
      </c>
      <c r="H102" s="9" t="s">
        <v>596</v>
      </c>
      <c r="I102" s="10" t="s">
        <v>656</v>
      </c>
      <c r="J102" s="9">
        <v>4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21</v>
      </c>
      <c r="D103" s="7" t="s">
        <v>129</v>
      </c>
      <c r="E103" s="8" t="s">
        <v>293</v>
      </c>
      <c r="F103" s="7" t="s">
        <v>407</v>
      </c>
      <c r="G103" s="8"/>
      <c r="H103" s="7"/>
      <c r="I103" s="8" t="s">
        <v>657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21</v>
      </c>
      <c r="D104" s="9" t="s">
        <v>130</v>
      </c>
      <c r="E104" s="10" t="s">
        <v>294</v>
      </c>
      <c r="F104" s="9" t="s">
        <v>407</v>
      </c>
      <c r="G104" s="10" t="s">
        <v>494</v>
      </c>
      <c r="H104" s="9" t="s">
        <v>557</v>
      </c>
      <c r="I104" s="10" t="s">
        <v>658</v>
      </c>
      <c r="J104" s="9">
        <v>2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21</v>
      </c>
      <c r="D105" s="7" t="s">
        <v>131</v>
      </c>
      <c r="E105" s="8" t="s">
        <v>295</v>
      </c>
      <c r="F105" s="7" t="s">
        <v>407</v>
      </c>
      <c r="G105" s="8" t="s">
        <v>495</v>
      </c>
      <c r="H105" s="7" t="s">
        <v>597</v>
      </c>
      <c r="I105" s="8" t="s">
        <v>659</v>
      </c>
      <c r="J105" s="7">
        <v>1</v>
      </c>
      <c r="K105" s="7"/>
    </row>
    <row r="106" spans="1:11" ht="36.75" thickBot="1" x14ac:dyDescent="0.3">
      <c r="A106" s="1"/>
      <c r="B106" s="11">
        <f t="shared" si="0"/>
        <v>104</v>
      </c>
      <c r="C106" s="13" t="s">
        <v>21</v>
      </c>
      <c r="D106" s="9" t="s">
        <v>132</v>
      </c>
      <c r="E106" s="10" t="s">
        <v>296</v>
      </c>
      <c r="F106" s="9" t="s">
        <v>408</v>
      </c>
      <c r="G106" s="10" t="s">
        <v>496</v>
      </c>
      <c r="H106" s="9" t="s">
        <v>598</v>
      </c>
      <c r="I106" s="10" t="s">
        <v>660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21</v>
      </c>
      <c r="D107" s="7" t="s">
        <v>133</v>
      </c>
      <c r="E107" s="8" t="s">
        <v>297</v>
      </c>
      <c r="F107" s="7" t="s">
        <v>407</v>
      </c>
      <c r="G107" s="8" t="s">
        <v>497</v>
      </c>
      <c r="H107" s="7" t="s">
        <v>557</v>
      </c>
      <c r="I107" s="8" t="s">
        <v>661</v>
      </c>
      <c r="J107" s="7">
        <v>1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21</v>
      </c>
      <c r="D108" s="9" t="s">
        <v>134</v>
      </c>
      <c r="E108" s="10" t="s">
        <v>298</v>
      </c>
      <c r="F108" s="9" t="s">
        <v>407</v>
      </c>
      <c r="G108" s="10" t="s">
        <v>498</v>
      </c>
      <c r="H108" s="9" t="s">
        <v>557</v>
      </c>
      <c r="I108" s="10" t="s">
        <v>662</v>
      </c>
      <c r="J108" s="9">
        <v>2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22</v>
      </c>
      <c r="D109" s="7" t="s">
        <v>135</v>
      </c>
      <c r="E109" s="8" t="s">
        <v>299</v>
      </c>
      <c r="F109" s="7" t="s">
        <v>407</v>
      </c>
      <c r="G109" s="8" t="s">
        <v>499</v>
      </c>
      <c r="H109" s="7" t="s">
        <v>557</v>
      </c>
      <c r="I109" s="8" t="s">
        <v>663</v>
      </c>
      <c r="J109" s="7">
        <v>1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21</v>
      </c>
      <c r="D110" s="9" t="s">
        <v>136</v>
      </c>
      <c r="E110" s="10" t="s">
        <v>300</v>
      </c>
      <c r="F110" s="9" t="s">
        <v>406</v>
      </c>
      <c r="G110" s="10" t="s">
        <v>500</v>
      </c>
      <c r="H110" s="9" t="s">
        <v>557</v>
      </c>
      <c r="I110" s="10" t="s">
        <v>664</v>
      </c>
      <c r="J110" s="9">
        <v>2</v>
      </c>
      <c r="K110" s="9"/>
    </row>
    <row r="111" spans="1:11" ht="15.75" thickBot="1" x14ac:dyDescent="0.3">
      <c r="A111" s="1"/>
      <c r="B111" s="11">
        <f>ROW(B111) - ROW($B$2)</f>
        <v>109</v>
      </c>
      <c r="C111" s="12" t="s">
        <v>21</v>
      </c>
      <c r="D111" s="7" t="s">
        <v>137</v>
      </c>
      <c r="E111" s="8" t="s">
        <v>301</v>
      </c>
      <c r="F111" s="7" t="s">
        <v>407</v>
      </c>
      <c r="G111" s="8" t="s">
        <v>501</v>
      </c>
      <c r="H111" s="7" t="s">
        <v>557</v>
      </c>
      <c r="I111" s="8" t="s">
        <v>649</v>
      </c>
      <c r="J111" s="7">
        <v>4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21</v>
      </c>
      <c r="D112" s="9" t="s">
        <v>138</v>
      </c>
      <c r="E112" s="10" t="s">
        <v>302</v>
      </c>
      <c r="F112" s="9" t="s">
        <v>405</v>
      </c>
      <c r="G112" s="10" t="s">
        <v>502</v>
      </c>
      <c r="H112" s="9" t="s">
        <v>592</v>
      </c>
      <c r="I112" s="10" t="s">
        <v>665</v>
      </c>
      <c r="J112" s="9">
        <v>1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21</v>
      </c>
      <c r="D113" s="7" t="s">
        <v>139</v>
      </c>
      <c r="E113" s="8" t="s">
        <v>303</v>
      </c>
      <c r="F113" s="7" t="s">
        <v>407</v>
      </c>
      <c r="G113" s="8" t="s">
        <v>503</v>
      </c>
      <c r="H113" s="7" t="s">
        <v>557</v>
      </c>
      <c r="I113" s="8" t="s">
        <v>659</v>
      </c>
      <c r="J113" s="7">
        <v>1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21</v>
      </c>
      <c r="D114" s="9" t="s">
        <v>140</v>
      </c>
      <c r="E114" s="10" t="s">
        <v>304</v>
      </c>
      <c r="F114" s="9" t="s">
        <v>407</v>
      </c>
      <c r="G114" s="10" t="s">
        <v>504</v>
      </c>
      <c r="H114" s="9" t="s">
        <v>557</v>
      </c>
      <c r="I114" s="10" t="s">
        <v>666</v>
      </c>
      <c r="J114" s="9">
        <v>1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22</v>
      </c>
      <c r="D115" s="7" t="s">
        <v>141</v>
      </c>
      <c r="E115" s="8" t="s">
        <v>305</v>
      </c>
      <c r="F115" s="7" t="s">
        <v>409</v>
      </c>
      <c r="G115" s="8" t="s">
        <v>505</v>
      </c>
      <c r="H115" s="7" t="s">
        <v>557</v>
      </c>
      <c r="I115" s="8" t="s">
        <v>665</v>
      </c>
      <c r="J115" s="7">
        <v>4</v>
      </c>
      <c r="K115" s="7"/>
    </row>
    <row r="116" spans="1:11" ht="15.75" thickBot="1" x14ac:dyDescent="0.3">
      <c r="A116" s="1"/>
      <c r="B116" s="11">
        <f t="shared" si="0"/>
        <v>114</v>
      </c>
      <c r="C116" s="13" t="s">
        <v>21</v>
      </c>
      <c r="D116" s="9" t="s">
        <v>142</v>
      </c>
      <c r="E116" s="10" t="s">
        <v>306</v>
      </c>
      <c r="F116" s="9" t="s">
        <v>407</v>
      </c>
      <c r="G116" s="10" t="s">
        <v>506</v>
      </c>
      <c r="H116" s="9" t="s">
        <v>557</v>
      </c>
      <c r="I116" s="10" t="s">
        <v>664</v>
      </c>
      <c r="J116" s="9">
        <v>3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22</v>
      </c>
      <c r="D117" s="7" t="s">
        <v>143</v>
      </c>
      <c r="E117" s="8" t="s">
        <v>307</v>
      </c>
      <c r="F117" s="7" t="s">
        <v>405</v>
      </c>
      <c r="G117" s="8" t="s">
        <v>507</v>
      </c>
      <c r="H117" s="7" t="s">
        <v>557</v>
      </c>
      <c r="I117" s="8" t="s">
        <v>667</v>
      </c>
      <c r="J117" s="7">
        <v>3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22</v>
      </c>
      <c r="D118" s="9" t="s">
        <v>144</v>
      </c>
      <c r="E118" s="10" t="s">
        <v>308</v>
      </c>
      <c r="F118" s="9" t="s">
        <v>407</v>
      </c>
      <c r="G118" s="10" t="s">
        <v>508</v>
      </c>
      <c r="H118" s="9" t="s">
        <v>557</v>
      </c>
      <c r="I118" s="10" t="s">
        <v>668</v>
      </c>
      <c r="J118" s="9">
        <v>1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21</v>
      </c>
      <c r="D119" s="7" t="s">
        <v>145</v>
      </c>
      <c r="E119" s="8" t="s">
        <v>309</v>
      </c>
      <c r="F119" s="7" t="s">
        <v>405</v>
      </c>
      <c r="G119" s="8" t="s">
        <v>509</v>
      </c>
      <c r="H119" s="7" t="s">
        <v>557</v>
      </c>
      <c r="I119" s="8" t="s">
        <v>669</v>
      </c>
      <c r="J119" s="7">
        <v>3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21</v>
      </c>
      <c r="D120" s="9" t="s">
        <v>146</v>
      </c>
      <c r="E120" s="10" t="s">
        <v>310</v>
      </c>
      <c r="F120" s="9" t="s">
        <v>407</v>
      </c>
      <c r="G120" s="10" t="s">
        <v>510</v>
      </c>
      <c r="H120" s="9" t="s">
        <v>592</v>
      </c>
      <c r="I120" s="10" t="s">
        <v>670</v>
      </c>
      <c r="J120" s="9">
        <v>1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21</v>
      </c>
      <c r="D121" s="7" t="s">
        <v>147</v>
      </c>
      <c r="E121" s="8" t="s">
        <v>311</v>
      </c>
      <c r="F121" s="7" t="s">
        <v>407</v>
      </c>
      <c r="G121" s="8" t="s">
        <v>511</v>
      </c>
      <c r="H121" s="7" t="s">
        <v>592</v>
      </c>
      <c r="I121" s="8" t="s">
        <v>671</v>
      </c>
      <c r="J121" s="7">
        <v>2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21</v>
      </c>
      <c r="D122" s="9" t="s">
        <v>148</v>
      </c>
      <c r="E122" s="10" t="s">
        <v>312</v>
      </c>
      <c r="F122" s="9" t="s">
        <v>407</v>
      </c>
      <c r="G122" s="10" t="s">
        <v>512</v>
      </c>
      <c r="H122" s="9" t="s">
        <v>557</v>
      </c>
      <c r="I122" s="10" t="s">
        <v>672</v>
      </c>
      <c r="J122" s="9">
        <v>4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21</v>
      </c>
      <c r="D123" s="7" t="s">
        <v>149</v>
      </c>
      <c r="E123" s="8" t="s">
        <v>313</v>
      </c>
      <c r="F123" s="7" t="s">
        <v>407</v>
      </c>
      <c r="G123" s="8" t="s">
        <v>513</v>
      </c>
      <c r="H123" s="7" t="s">
        <v>592</v>
      </c>
      <c r="I123" s="8" t="s">
        <v>673</v>
      </c>
      <c r="J123" s="7">
        <v>1</v>
      </c>
      <c r="K123" s="7"/>
    </row>
    <row r="124" spans="1:11" ht="15.75" thickBot="1" x14ac:dyDescent="0.3">
      <c r="A124" s="1"/>
      <c r="B124" s="11">
        <f t="shared" si="0"/>
        <v>122</v>
      </c>
      <c r="C124" s="13" t="s">
        <v>22</v>
      </c>
      <c r="D124" s="9" t="s">
        <v>150</v>
      </c>
      <c r="E124" s="10" t="s">
        <v>314</v>
      </c>
      <c r="F124" s="9" t="s">
        <v>407</v>
      </c>
      <c r="G124" s="10" t="s">
        <v>514</v>
      </c>
      <c r="H124" s="9" t="s">
        <v>592</v>
      </c>
      <c r="I124" s="10" t="s">
        <v>674</v>
      </c>
      <c r="J124" s="9">
        <v>1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21</v>
      </c>
      <c r="D125" s="7" t="s">
        <v>151</v>
      </c>
      <c r="E125" s="8" t="s">
        <v>315</v>
      </c>
      <c r="F125" s="7" t="s">
        <v>410</v>
      </c>
      <c r="G125" s="8" t="s">
        <v>515</v>
      </c>
      <c r="H125" s="7" t="s">
        <v>557</v>
      </c>
      <c r="I125" s="8" t="s">
        <v>665</v>
      </c>
      <c r="J125" s="7">
        <v>2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21</v>
      </c>
      <c r="D126" s="9" t="s">
        <v>152</v>
      </c>
      <c r="E126" s="10" t="s">
        <v>316</v>
      </c>
      <c r="F126" s="9" t="s">
        <v>407</v>
      </c>
      <c r="G126" s="10" t="s">
        <v>516</v>
      </c>
      <c r="H126" s="9" t="s">
        <v>557</v>
      </c>
      <c r="I126" s="10" t="s">
        <v>675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21</v>
      </c>
      <c r="D127" s="7" t="s">
        <v>153</v>
      </c>
      <c r="E127" s="8" t="s">
        <v>317</v>
      </c>
      <c r="F127" s="7" t="s">
        <v>407</v>
      </c>
      <c r="G127" s="8" t="s">
        <v>517</v>
      </c>
      <c r="H127" s="7" t="s">
        <v>557</v>
      </c>
      <c r="I127" s="8" t="s">
        <v>676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3" t="s">
        <v>21</v>
      </c>
      <c r="D128" s="9" t="s">
        <v>154</v>
      </c>
      <c r="E128" s="10" t="s">
        <v>318</v>
      </c>
      <c r="F128" s="9" t="s">
        <v>407</v>
      </c>
      <c r="G128" s="10" t="s">
        <v>518</v>
      </c>
      <c r="H128" s="9" t="s">
        <v>557</v>
      </c>
      <c r="I128" s="10" t="s">
        <v>677</v>
      </c>
      <c r="J128" s="9">
        <v>1</v>
      </c>
      <c r="K128" s="9"/>
    </row>
    <row r="129" spans="1:11" ht="15.75" thickBot="1" x14ac:dyDescent="0.3">
      <c r="A129" s="1"/>
      <c r="B129" s="11">
        <f>ROW(B129) - ROW($B$2)</f>
        <v>127</v>
      </c>
      <c r="C129" s="12" t="s">
        <v>21</v>
      </c>
      <c r="D129" s="7" t="s">
        <v>155</v>
      </c>
      <c r="E129" s="8" t="s">
        <v>319</v>
      </c>
      <c r="F129" s="7" t="s">
        <v>407</v>
      </c>
      <c r="G129" s="8" t="s">
        <v>519</v>
      </c>
      <c r="H129" s="7" t="s">
        <v>557</v>
      </c>
      <c r="I129" s="8" t="s">
        <v>665</v>
      </c>
      <c r="J129" s="7">
        <v>1</v>
      </c>
      <c r="K129" s="7"/>
    </row>
    <row r="130" spans="1:11" ht="15.75" thickBot="1" x14ac:dyDescent="0.3">
      <c r="A130" s="1"/>
      <c r="B130" s="11">
        <f t="shared" si="0"/>
        <v>128</v>
      </c>
      <c r="C130" s="13" t="s">
        <v>21</v>
      </c>
      <c r="D130" s="9" t="s">
        <v>156</v>
      </c>
      <c r="E130" s="10" t="s">
        <v>320</v>
      </c>
      <c r="F130" s="9" t="s">
        <v>407</v>
      </c>
      <c r="G130" s="10" t="s">
        <v>520</v>
      </c>
      <c r="H130" s="9" t="s">
        <v>557</v>
      </c>
      <c r="I130" s="10" t="s">
        <v>678</v>
      </c>
      <c r="J130" s="9">
        <v>1</v>
      </c>
      <c r="K130" s="9"/>
    </row>
    <row r="131" spans="1:11" ht="36.75" thickBot="1" x14ac:dyDescent="0.3">
      <c r="A131" s="1"/>
      <c r="B131" s="11">
        <f>ROW(B131) - ROW($B$2)</f>
        <v>129</v>
      </c>
      <c r="C131" s="12" t="s">
        <v>21</v>
      </c>
      <c r="D131" s="7" t="s">
        <v>157</v>
      </c>
      <c r="E131" s="8" t="s">
        <v>321</v>
      </c>
      <c r="F131" s="7" t="s">
        <v>409</v>
      </c>
      <c r="G131" s="8" t="s">
        <v>521</v>
      </c>
      <c r="H131" s="7" t="s">
        <v>599</v>
      </c>
      <c r="I131" s="8" t="s">
        <v>679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22</v>
      </c>
      <c r="D132" s="9" t="s">
        <v>158</v>
      </c>
      <c r="E132" s="10" t="s">
        <v>322</v>
      </c>
      <c r="F132" s="9" t="s">
        <v>407</v>
      </c>
      <c r="G132" s="10" t="s">
        <v>522</v>
      </c>
      <c r="H132" s="9" t="s">
        <v>557</v>
      </c>
      <c r="I132" s="10" t="s">
        <v>680</v>
      </c>
      <c r="J132" s="9">
        <v>1</v>
      </c>
      <c r="K132" s="9"/>
    </row>
    <row r="133" spans="1:11" ht="15.75" thickBot="1" x14ac:dyDescent="0.3">
      <c r="A133" s="1"/>
      <c r="B133" s="11">
        <f>ROW(B133) - ROW($B$2)</f>
        <v>131</v>
      </c>
      <c r="C133" s="12" t="s">
        <v>21</v>
      </c>
      <c r="D133" s="7" t="s">
        <v>159</v>
      </c>
      <c r="E133" s="8" t="s">
        <v>323</v>
      </c>
      <c r="F133" s="7" t="s">
        <v>409</v>
      </c>
      <c r="G133" s="8" t="s">
        <v>523</v>
      </c>
      <c r="H133" s="7" t="s">
        <v>557</v>
      </c>
      <c r="I133" s="8" t="s">
        <v>681</v>
      </c>
      <c r="J133" s="7">
        <v>1</v>
      </c>
      <c r="K133" s="7"/>
    </row>
    <row r="134" spans="1:11" ht="15.75" thickBot="1" x14ac:dyDescent="0.3">
      <c r="A134" s="1"/>
      <c r="B134" s="11">
        <f t="shared" si="0"/>
        <v>132</v>
      </c>
      <c r="C134" s="13" t="s">
        <v>22</v>
      </c>
      <c r="D134" s="9" t="s">
        <v>160</v>
      </c>
      <c r="E134" s="10" t="s">
        <v>324</v>
      </c>
      <c r="F134" s="9" t="s">
        <v>409</v>
      </c>
      <c r="G134" s="10" t="s">
        <v>524</v>
      </c>
      <c r="H134" s="9" t="s">
        <v>557</v>
      </c>
      <c r="I134" s="10" t="s">
        <v>682</v>
      </c>
      <c r="J134" s="9">
        <v>1</v>
      </c>
      <c r="K134" s="9"/>
    </row>
    <row r="135" spans="1:11" ht="15.75" thickBot="1" x14ac:dyDescent="0.3">
      <c r="A135" s="1"/>
      <c r="B135" s="11">
        <f>ROW(B135) - ROW($B$2)</f>
        <v>133</v>
      </c>
      <c r="C135" s="12" t="s">
        <v>21</v>
      </c>
      <c r="D135" s="7" t="s">
        <v>161</v>
      </c>
      <c r="E135" s="8" t="s">
        <v>325</v>
      </c>
      <c r="F135" s="7" t="s">
        <v>407</v>
      </c>
      <c r="G135" s="8" t="s">
        <v>525</v>
      </c>
      <c r="H135" s="7" t="s">
        <v>557</v>
      </c>
      <c r="I135" s="8" t="s">
        <v>683</v>
      </c>
      <c r="J135" s="7">
        <v>1</v>
      </c>
      <c r="K135" s="7"/>
    </row>
    <row r="136" spans="1:11" ht="15.75" thickBot="1" x14ac:dyDescent="0.3">
      <c r="A136" s="1"/>
      <c r="B136" s="11">
        <f t="shared" si="0"/>
        <v>134</v>
      </c>
      <c r="C136" s="13" t="s">
        <v>22</v>
      </c>
      <c r="D136" s="9" t="s">
        <v>162</v>
      </c>
      <c r="E136" s="10" t="s">
        <v>326</v>
      </c>
      <c r="F136" s="9">
        <v>5931</v>
      </c>
      <c r="G136" s="10" t="s">
        <v>526</v>
      </c>
      <c r="H136" s="9" t="s">
        <v>595</v>
      </c>
      <c r="I136" s="10" t="s">
        <v>684</v>
      </c>
      <c r="J136" s="9">
        <v>1</v>
      </c>
      <c r="K136" s="9"/>
    </row>
    <row r="137" spans="1:11" ht="15.75" thickBot="1" x14ac:dyDescent="0.3">
      <c r="A137" s="1"/>
      <c r="B137" s="11">
        <f>ROW(B137) - ROW($B$2)</f>
        <v>135</v>
      </c>
      <c r="C137" s="12" t="s">
        <v>22</v>
      </c>
      <c r="D137" s="7" t="s">
        <v>163</v>
      </c>
      <c r="E137" s="8" t="s">
        <v>327</v>
      </c>
      <c r="F137" s="7" t="s">
        <v>407</v>
      </c>
      <c r="G137" s="8" t="s">
        <v>527</v>
      </c>
      <c r="H137" s="7" t="s">
        <v>557</v>
      </c>
      <c r="I137" s="8" t="s">
        <v>685</v>
      </c>
      <c r="J137" s="7">
        <v>1</v>
      </c>
      <c r="K137" s="7"/>
    </row>
    <row r="138" spans="1:11" ht="15.75" thickBot="1" x14ac:dyDescent="0.3">
      <c r="A138" s="1"/>
      <c r="B138" s="11">
        <f t="shared" si="0"/>
        <v>136</v>
      </c>
      <c r="C138" s="13" t="s">
        <v>21</v>
      </c>
      <c r="D138" s="9" t="s">
        <v>164</v>
      </c>
      <c r="E138" s="10" t="s">
        <v>328</v>
      </c>
      <c r="F138" s="9" t="s">
        <v>407</v>
      </c>
      <c r="G138" s="10" t="s">
        <v>528</v>
      </c>
      <c r="H138" s="9" t="s">
        <v>592</v>
      </c>
      <c r="I138" s="10" t="s">
        <v>686</v>
      </c>
      <c r="J138" s="9">
        <v>1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22</v>
      </c>
      <c r="D139" s="7" t="s">
        <v>165</v>
      </c>
      <c r="E139" s="8" t="s">
        <v>329</v>
      </c>
      <c r="F139" s="7" t="s">
        <v>411</v>
      </c>
      <c r="G139" s="8" t="s">
        <v>529</v>
      </c>
      <c r="H139" s="7" t="s">
        <v>557</v>
      </c>
      <c r="I139" s="8" t="s">
        <v>687</v>
      </c>
      <c r="J139" s="7">
        <v>1</v>
      </c>
      <c r="K139" s="7"/>
    </row>
    <row r="140" spans="1:11" ht="15.75" thickBot="1" x14ac:dyDescent="0.3">
      <c r="A140" s="1"/>
      <c r="B140" s="11">
        <f t="shared" si="0"/>
        <v>138</v>
      </c>
      <c r="C140" s="13" t="s">
        <v>21</v>
      </c>
      <c r="D140" s="9" t="s">
        <v>166</v>
      </c>
      <c r="E140" s="10" t="s">
        <v>330</v>
      </c>
      <c r="F140" s="9" t="s">
        <v>409</v>
      </c>
      <c r="G140" s="10" t="s">
        <v>530</v>
      </c>
      <c r="H140" s="9" t="s">
        <v>557</v>
      </c>
      <c r="I140" s="10" t="s">
        <v>664</v>
      </c>
      <c r="J140" s="9">
        <v>3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21</v>
      </c>
      <c r="D141" s="7" t="s">
        <v>167</v>
      </c>
      <c r="E141" s="8" t="s">
        <v>331</v>
      </c>
      <c r="F141" s="7" t="s">
        <v>409</v>
      </c>
      <c r="G141" s="8" t="s">
        <v>531</v>
      </c>
      <c r="H141" s="7" t="s">
        <v>557</v>
      </c>
      <c r="I141" s="8" t="s">
        <v>657</v>
      </c>
      <c r="J141" s="7">
        <v>3</v>
      </c>
      <c r="K141" s="7"/>
    </row>
    <row r="142" spans="1:11" ht="15.75" thickBot="1" x14ac:dyDescent="0.3">
      <c r="A142" s="1"/>
      <c r="B142" s="11">
        <f t="shared" si="0"/>
        <v>140</v>
      </c>
      <c r="C142" s="13" t="s">
        <v>22</v>
      </c>
      <c r="D142" s="9" t="s">
        <v>168</v>
      </c>
      <c r="E142" s="10" t="s">
        <v>332</v>
      </c>
      <c r="F142" s="9" t="s">
        <v>409</v>
      </c>
      <c r="G142" s="10" t="s">
        <v>532</v>
      </c>
      <c r="H142" s="9" t="s">
        <v>557</v>
      </c>
      <c r="I142" s="10" t="s">
        <v>688</v>
      </c>
      <c r="J142" s="9">
        <v>1</v>
      </c>
      <c r="K142" s="9"/>
    </row>
    <row r="143" spans="1:11" ht="15.75" thickBot="1" x14ac:dyDescent="0.3">
      <c r="A143" s="1"/>
      <c r="B143" s="11">
        <f>ROW(B143) - ROW($B$2)</f>
        <v>141</v>
      </c>
      <c r="C143" s="13" t="s">
        <v>22</v>
      </c>
      <c r="D143" s="7" t="s">
        <v>169</v>
      </c>
      <c r="E143" s="8" t="s">
        <v>333</v>
      </c>
      <c r="F143" s="7" t="s">
        <v>407</v>
      </c>
      <c r="G143" s="8" t="s">
        <v>533</v>
      </c>
      <c r="H143" s="7" t="s">
        <v>557</v>
      </c>
      <c r="I143" s="8" t="s">
        <v>681</v>
      </c>
      <c r="J143" s="7">
        <v>1</v>
      </c>
      <c r="K143" s="7"/>
    </row>
    <row r="144" spans="1:11" ht="15.75" thickBot="1" x14ac:dyDescent="0.3">
      <c r="A144" s="1"/>
      <c r="B144" s="11">
        <f t="shared" si="0"/>
        <v>142</v>
      </c>
      <c r="C144" s="13" t="s">
        <v>21</v>
      </c>
      <c r="D144" s="9" t="s">
        <v>170</v>
      </c>
      <c r="E144" s="10" t="s">
        <v>334</v>
      </c>
      <c r="F144" s="9" t="s">
        <v>407</v>
      </c>
      <c r="G144" s="10" t="s">
        <v>534</v>
      </c>
      <c r="H144" s="9" t="s">
        <v>557</v>
      </c>
      <c r="I144" s="10" t="s">
        <v>657</v>
      </c>
      <c r="J144" s="9">
        <v>3</v>
      </c>
      <c r="K144" s="9"/>
    </row>
    <row r="145" spans="1:11" ht="15.75" thickBot="1" x14ac:dyDescent="0.3">
      <c r="A145" s="1"/>
      <c r="B145" s="11">
        <f>ROW(B145) - ROW($B$2)</f>
        <v>143</v>
      </c>
      <c r="C145" s="12" t="s">
        <v>21</v>
      </c>
      <c r="D145" s="7" t="s">
        <v>171</v>
      </c>
      <c r="E145" s="8" t="s">
        <v>335</v>
      </c>
      <c r="F145" s="7" t="s">
        <v>410</v>
      </c>
      <c r="G145" s="8" t="s">
        <v>535</v>
      </c>
      <c r="H145" s="7" t="s">
        <v>557</v>
      </c>
      <c r="I145" s="8" t="s">
        <v>689</v>
      </c>
      <c r="J145" s="7">
        <v>1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22</v>
      </c>
      <c r="D146" s="9" t="s">
        <v>172</v>
      </c>
      <c r="E146" s="10" t="s">
        <v>336</v>
      </c>
      <c r="F146" s="9" t="s">
        <v>407</v>
      </c>
      <c r="G146" s="10" t="s">
        <v>536</v>
      </c>
      <c r="H146" s="9" t="s">
        <v>557</v>
      </c>
      <c r="I146" s="10" t="s">
        <v>685</v>
      </c>
      <c r="J146" s="9">
        <v>1</v>
      </c>
      <c r="K146" s="9"/>
    </row>
    <row r="147" spans="1:11" ht="15.75" thickBot="1" x14ac:dyDescent="0.3">
      <c r="A147" s="1"/>
      <c r="B147" s="11">
        <f>ROW(B147) - ROW($B$2)</f>
        <v>145</v>
      </c>
      <c r="C147" s="12" t="s">
        <v>21</v>
      </c>
      <c r="D147" s="19" t="s">
        <v>173</v>
      </c>
      <c r="E147" s="20" t="s">
        <v>319</v>
      </c>
      <c r="F147" s="19" t="s">
        <v>407</v>
      </c>
      <c r="G147" s="20" t="s">
        <v>519</v>
      </c>
      <c r="H147" s="19" t="s">
        <v>557</v>
      </c>
      <c r="I147" s="20" t="s">
        <v>633</v>
      </c>
      <c r="J147" s="19">
        <v>1</v>
      </c>
      <c r="K147" s="16" t="s">
        <v>700</v>
      </c>
    </row>
    <row r="148" spans="1:11" ht="15.75" thickBot="1" x14ac:dyDescent="0.3">
      <c r="A148" s="1"/>
      <c r="B148" s="11">
        <f t="shared" si="0"/>
        <v>146</v>
      </c>
      <c r="C148" s="12" t="s">
        <v>21</v>
      </c>
      <c r="D148" s="9" t="s">
        <v>174</v>
      </c>
      <c r="E148" s="10" t="s">
        <v>337</v>
      </c>
      <c r="F148" s="9" t="s">
        <v>409</v>
      </c>
      <c r="G148" s="10" t="s">
        <v>537</v>
      </c>
      <c r="H148" s="9" t="s">
        <v>557</v>
      </c>
      <c r="I148" s="10" t="s">
        <v>675</v>
      </c>
      <c r="J148" s="9">
        <v>2</v>
      </c>
      <c r="K148" s="9"/>
    </row>
    <row r="149" spans="1:11" ht="15.75" thickBot="1" x14ac:dyDescent="0.3">
      <c r="A149" s="1"/>
      <c r="B149" s="11">
        <f>ROW(B149) - ROW($B$2)</f>
        <v>147</v>
      </c>
      <c r="C149" s="12" t="s">
        <v>22</v>
      </c>
      <c r="D149" s="7" t="s">
        <v>175</v>
      </c>
      <c r="E149" s="8" t="s">
        <v>338</v>
      </c>
      <c r="F149" s="7" t="s">
        <v>407</v>
      </c>
      <c r="G149" s="8" t="s">
        <v>538</v>
      </c>
      <c r="H149" s="7" t="s">
        <v>557</v>
      </c>
      <c r="I149" s="8" t="s">
        <v>690</v>
      </c>
      <c r="J149" s="7">
        <v>1</v>
      </c>
      <c r="K149" s="7"/>
    </row>
    <row r="150" spans="1:11" ht="15.75" thickBot="1" x14ac:dyDescent="0.3">
      <c r="A150" s="1"/>
      <c r="B150" s="11">
        <f t="shared" si="0"/>
        <v>148</v>
      </c>
      <c r="C150" s="13" t="s">
        <v>22</v>
      </c>
      <c r="D150" s="9" t="s">
        <v>176</v>
      </c>
      <c r="E150" s="10" t="s">
        <v>339</v>
      </c>
      <c r="F150" s="9" t="s">
        <v>407</v>
      </c>
      <c r="G150" s="10" t="s">
        <v>539</v>
      </c>
      <c r="H150" s="9" t="s">
        <v>557</v>
      </c>
      <c r="I150" s="10" t="s">
        <v>691</v>
      </c>
      <c r="J150" s="9">
        <v>1</v>
      </c>
      <c r="K150" s="9"/>
    </row>
    <row r="151" spans="1:11" ht="36.75" thickBot="1" x14ac:dyDescent="0.3">
      <c r="A151" s="1"/>
      <c r="B151" s="11">
        <f>ROW(B151) - ROW($B$2)</f>
        <v>149</v>
      </c>
      <c r="C151" s="12" t="s">
        <v>21</v>
      </c>
      <c r="D151" s="7" t="s">
        <v>177</v>
      </c>
      <c r="E151" s="8" t="s">
        <v>340</v>
      </c>
      <c r="F151" s="7" t="s">
        <v>411</v>
      </c>
      <c r="G151" s="8" t="s">
        <v>540</v>
      </c>
      <c r="H151" s="7" t="s">
        <v>600</v>
      </c>
      <c r="I151" s="8" t="s">
        <v>692</v>
      </c>
      <c r="J151" s="7">
        <v>1</v>
      </c>
      <c r="K151" s="7"/>
    </row>
    <row r="152" spans="1:11" ht="36.75" thickBot="1" x14ac:dyDescent="0.3">
      <c r="A152" s="1"/>
      <c r="B152" s="11">
        <f t="shared" si="0"/>
        <v>150</v>
      </c>
      <c r="C152" s="13" t="s">
        <v>21</v>
      </c>
      <c r="D152" s="9" t="s">
        <v>178</v>
      </c>
      <c r="E152" s="10" t="s">
        <v>341</v>
      </c>
      <c r="F152" s="9" t="s">
        <v>411</v>
      </c>
      <c r="G152" s="10" t="s">
        <v>541</v>
      </c>
      <c r="H152" s="9" t="s">
        <v>600</v>
      </c>
      <c r="I152" s="10" t="s">
        <v>693</v>
      </c>
      <c r="J152" s="9">
        <v>1</v>
      </c>
      <c r="K152" s="9"/>
    </row>
    <row r="153" spans="1:11" ht="15.75" thickBot="1" x14ac:dyDescent="0.3">
      <c r="A153" s="1"/>
      <c r="B153" s="11">
        <f>ROW(B153) - ROW($B$2)</f>
        <v>151</v>
      </c>
      <c r="C153" s="12" t="s">
        <v>23</v>
      </c>
      <c r="D153" s="7" t="s">
        <v>179</v>
      </c>
      <c r="E153" s="8" t="s">
        <v>342</v>
      </c>
      <c r="F153" s="7" t="s">
        <v>698</v>
      </c>
      <c r="G153" s="8" t="s">
        <v>412</v>
      </c>
      <c r="H153" s="7" t="s">
        <v>601</v>
      </c>
      <c r="I153" s="8" t="s">
        <v>649</v>
      </c>
      <c r="J153" s="7">
        <v>1</v>
      </c>
      <c r="K153" s="7"/>
    </row>
    <row r="154" spans="1:11" ht="15.75" thickBot="1" x14ac:dyDescent="0.3">
      <c r="A154" s="1"/>
      <c r="B154" s="11">
        <f t="shared" si="0"/>
        <v>152</v>
      </c>
      <c r="C154" s="13" t="s">
        <v>13</v>
      </c>
      <c r="D154" s="9" t="s">
        <v>180</v>
      </c>
      <c r="E154" s="10" t="s">
        <v>343</v>
      </c>
      <c r="F154" s="7" t="s">
        <v>698</v>
      </c>
      <c r="G154" s="10">
        <v>744822301</v>
      </c>
      <c r="H154" s="9" t="s">
        <v>585</v>
      </c>
      <c r="I154" s="10" t="s">
        <v>697</v>
      </c>
      <c r="J154" s="9">
        <v>1</v>
      </c>
      <c r="K154" s="9"/>
    </row>
    <row r="155" spans="1:11" ht="26.25" thickBot="1" x14ac:dyDescent="0.3">
      <c r="A155" s="1"/>
      <c r="B155" s="11">
        <f>ROW(B155) - ROW($B$2)</f>
        <v>153</v>
      </c>
      <c r="C155" s="12" t="s">
        <v>24</v>
      </c>
      <c r="D155" s="7" t="s">
        <v>181</v>
      </c>
      <c r="E155" s="8" t="s">
        <v>344</v>
      </c>
      <c r="F155" s="7" t="s">
        <v>698</v>
      </c>
      <c r="G155" s="8">
        <v>744824310</v>
      </c>
      <c r="H155" s="7" t="s">
        <v>585</v>
      </c>
      <c r="I155" s="10" t="s">
        <v>697</v>
      </c>
      <c r="J155" s="7">
        <v>1</v>
      </c>
      <c r="K155" s="7"/>
    </row>
    <row r="156" spans="1:11" ht="15.75" thickBot="1" x14ac:dyDescent="0.3">
      <c r="A156" s="1"/>
      <c r="B156" s="11">
        <f t="shared" si="0"/>
        <v>154</v>
      </c>
      <c r="C156" s="13" t="s">
        <v>25</v>
      </c>
      <c r="D156" s="9" t="s">
        <v>182</v>
      </c>
      <c r="E156" s="10" t="s">
        <v>345</v>
      </c>
      <c r="F156" s="7" t="s">
        <v>698</v>
      </c>
      <c r="G156" s="10">
        <v>760895631</v>
      </c>
      <c r="H156" s="9" t="s">
        <v>585</v>
      </c>
      <c r="I156" s="10" t="s">
        <v>697</v>
      </c>
      <c r="J156" s="9">
        <v>1</v>
      </c>
      <c r="K156" s="9"/>
    </row>
    <row r="157" spans="1:11" ht="15.75" thickBot="1" x14ac:dyDescent="0.3">
      <c r="A157" s="1"/>
      <c r="B157" s="11">
        <f>ROW(B157) - ROW($B$2)</f>
        <v>155</v>
      </c>
      <c r="C157" s="12" t="s">
        <v>20</v>
      </c>
      <c r="D157" s="7" t="s">
        <v>183</v>
      </c>
      <c r="E157" s="8" t="s">
        <v>346</v>
      </c>
      <c r="F157" s="7" t="s">
        <v>413</v>
      </c>
      <c r="G157" s="8" t="s">
        <v>542</v>
      </c>
      <c r="H157" s="7" t="s">
        <v>593</v>
      </c>
      <c r="I157" s="10" t="s">
        <v>697</v>
      </c>
      <c r="J157" s="7">
        <v>1</v>
      </c>
      <c r="K157" s="7"/>
    </row>
    <row r="158" spans="1:11" ht="15.75" thickBot="1" x14ac:dyDescent="0.3">
      <c r="A158" s="1"/>
      <c r="B158" s="11">
        <f t="shared" si="0"/>
        <v>156</v>
      </c>
      <c r="C158" s="13" t="s">
        <v>20</v>
      </c>
      <c r="D158" s="9" t="s">
        <v>184</v>
      </c>
      <c r="E158" s="10" t="s">
        <v>347</v>
      </c>
      <c r="F158" s="9" t="s">
        <v>414</v>
      </c>
      <c r="G158" s="10" t="s">
        <v>543</v>
      </c>
      <c r="H158" s="9" t="s">
        <v>593</v>
      </c>
      <c r="I158" s="10" t="s">
        <v>697</v>
      </c>
      <c r="J158" s="9">
        <v>2</v>
      </c>
      <c r="K158" s="9"/>
    </row>
    <row r="159" spans="1:11" ht="15.75" thickBot="1" x14ac:dyDescent="0.3">
      <c r="A159" s="1"/>
      <c r="B159" s="11">
        <f>ROW(B159) - ROW($B$2)</f>
        <v>157</v>
      </c>
      <c r="C159" s="12" t="s">
        <v>20</v>
      </c>
      <c r="D159" s="7" t="s">
        <v>185</v>
      </c>
      <c r="E159" s="8" t="s">
        <v>348</v>
      </c>
      <c r="F159" s="7" t="s">
        <v>698</v>
      </c>
      <c r="G159" s="8" t="s">
        <v>415</v>
      </c>
      <c r="H159" s="7" t="s">
        <v>593</v>
      </c>
      <c r="I159" s="10" t="s">
        <v>697</v>
      </c>
      <c r="J159" s="7">
        <v>1</v>
      </c>
      <c r="K159" s="7"/>
    </row>
    <row r="160" spans="1:11" ht="24.75" thickBot="1" x14ac:dyDescent="0.3">
      <c r="A160" s="1"/>
      <c r="B160" s="11">
        <f t="shared" si="0"/>
        <v>158</v>
      </c>
      <c r="C160" s="13" t="s">
        <v>26</v>
      </c>
      <c r="D160" s="9" t="s">
        <v>186</v>
      </c>
      <c r="E160" s="10" t="s">
        <v>349</v>
      </c>
      <c r="F160" s="9" t="s">
        <v>416</v>
      </c>
      <c r="G160" s="10" t="s">
        <v>544</v>
      </c>
      <c r="H160" s="9" t="s">
        <v>602</v>
      </c>
      <c r="I160" s="10" t="s">
        <v>697</v>
      </c>
      <c r="J160" s="9">
        <v>1</v>
      </c>
      <c r="K160" s="9"/>
    </row>
    <row r="161" spans="1:11" ht="15.75" thickBot="1" x14ac:dyDescent="0.3">
      <c r="A161" s="1"/>
      <c r="B161" s="11">
        <f>ROW(B161) - ROW($B$2)</f>
        <v>159</v>
      </c>
      <c r="C161" s="12" t="s">
        <v>20</v>
      </c>
      <c r="D161" s="7" t="s">
        <v>187</v>
      </c>
      <c r="E161" s="8" t="s">
        <v>350</v>
      </c>
      <c r="F161" s="7" t="s">
        <v>401</v>
      </c>
      <c r="G161" s="8" t="s">
        <v>545</v>
      </c>
      <c r="H161" s="7" t="s">
        <v>593</v>
      </c>
      <c r="I161" s="10" t="s">
        <v>697</v>
      </c>
      <c r="J161" s="7">
        <v>1</v>
      </c>
      <c r="K161" s="7"/>
    </row>
    <row r="162" spans="1:11" ht="15.75" thickBot="1" x14ac:dyDescent="0.3">
      <c r="A162" s="1"/>
      <c r="B162" s="11">
        <f t="shared" si="0"/>
        <v>160</v>
      </c>
      <c r="C162" s="13" t="s">
        <v>20</v>
      </c>
      <c r="D162" s="9" t="s">
        <v>188</v>
      </c>
      <c r="E162" s="10" t="s">
        <v>351</v>
      </c>
      <c r="F162" s="9" t="s">
        <v>417</v>
      </c>
      <c r="G162" s="10" t="s">
        <v>546</v>
      </c>
      <c r="H162" s="9" t="s">
        <v>593</v>
      </c>
      <c r="I162" s="10" t="s">
        <v>697</v>
      </c>
      <c r="J162" s="9">
        <v>1</v>
      </c>
      <c r="K162" s="9"/>
    </row>
    <row r="163" spans="1:11" ht="15.75" thickBot="1" x14ac:dyDescent="0.3">
      <c r="A163" s="1"/>
      <c r="B163" s="11">
        <f>ROW(B163) - ROW($B$2)</f>
        <v>161</v>
      </c>
      <c r="C163" s="12" t="s">
        <v>20</v>
      </c>
      <c r="D163" s="7" t="s">
        <v>189</v>
      </c>
      <c r="E163" s="8" t="s">
        <v>352</v>
      </c>
      <c r="F163" s="7" t="s">
        <v>699</v>
      </c>
      <c r="G163" s="8" t="s">
        <v>547</v>
      </c>
      <c r="H163" s="7" t="s">
        <v>593</v>
      </c>
      <c r="I163" s="10" t="s">
        <v>697</v>
      </c>
      <c r="J163" s="7">
        <v>1</v>
      </c>
      <c r="K163" s="7"/>
    </row>
    <row r="164" spans="1:11" ht="15.75" thickBot="1" x14ac:dyDescent="0.3">
      <c r="A164" s="1"/>
      <c r="B164" s="11">
        <f t="shared" si="0"/>
        <v>162</v>
      </c>
      <c r="C164" s="13" t="s">
        <v>20</v>
      </c>
      <c r="D164" s="9" t="s">
        <v>190</v>
      </c>
      <c r="E164" s="10" t="s">
        <v>353</v>
      </c>
      <c r="F164" s="9" t="s">
        <v>418</v>
      </c>
      <c r="G164" s="10" t="s">
        <v>548</v>
      </c>
      <c r="H164" s="9" t="s">
        <v>593</v>
      </c>
      <c r="I164" s="10" t="s">
        <v>697</v>
      </c>
      <c r="J164" s="9">
        <v>1</v>
      </c>
      <c r="K164" s="9"/>
    </row>
    <row r="165" spans="1:11" ht="24.75" thickBot="1" x14ac:dyDescent="0.3">
      <c r="A165" s="1"/>
      <c r="B165" s="11">
        <f>ROW(B165) - ROW($B$2)</f>
        <v>163</v>
      </c>
      <c r="C165" s="12" t="s">
        <v>20</v>
      </c>
      <c r="D165" s="7" t="s">
        <v>191</v>
      </c>
      <c r="E165" s="8" t="s">
        <v>354</v>
      </c>
      <c r="F165" s="7" t="s">
        <v>419</v>
      </c>
      <c r="G165" s="8" t="s">
        <v>549</v>
      </c>
      <c r="H165" s="7" t="s">
        <v>603</v>
      </c>
      <c r="I165" s="10" t="s">
        <v>697</v>
      </c>
      <c r="J165" s="7">
        <v>1</v>
      </c>
      <c r="K165" s="7"/>
    </row>
    <row r="166" spans="1:11" ht="15.75" thickBot="1" x14ac:dyDescent="0.3">
      <c r="A166" s="1"/>
      <c r="B166" s="11">
        <f t="shared" si="0"/>
        <v>164</v>
      </c>
      <c r="C166" s="13" t="s">
        <v>27</v>
      </c>
      <c r="D166" s="9" t="s">
        <v>192</v>
      </c>
      <c r="E166" s="10" t="s">
        <v>355</v>
      </c>
      <c r="F166" s="7" t="s">
        <v>698</v>
      </c>
      <c r="G166" s="10" t="s">
        <v>420</v>
      </c>
      <c r="H166" s="9" t="s">
        <v>601</v>
      </c>
      <c r="I166" s="10" t="s">
        <v>697</v>
      </c>
      <c r="J166" s="9">
        <v>1</v>
      </c>
      <c r="K166" s="9"/>
    </row>
    <row r="167" spans="1:11" ht="15.75" thickBot="1" x14ac:dyDescent="0.3">
      <c r="B167" s="11">
        <f t="shared" si="0"/>
        <v>165</v>
      </c>
      <c r="C167" s="13" t="s">
        <v>703</v>
      </c>
      <c r="D167" s="9" t="s">
        <v>697</v>
      </c>
      <c r="E167" s="10" t="s">
        <v>702</v>
      </c>
      <c r="F167" s="7" t="s">
        <v>698</v>
      </c>
      <c r="G167" s="10" t="s">
        <v>701</v>
      </c>
      <c r="H167" s="9" t="s">
        <v>704</v>
      </c>
      <c r="I167" s="10" t="s">
        <v>697</v>
      </c>
      <c r="J167" s="9">
        <v>1</v>
      </c>
      <c r="K167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2024-08-30T08:41:43Z</dcterms:modified>
</cp:coreProperties>
</file>